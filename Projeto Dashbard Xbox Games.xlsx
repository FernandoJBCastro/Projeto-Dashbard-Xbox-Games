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Cursos DIO\EXCEL com Inteligência Artificial\03. Projeto Dashbard Xbox ONE\"/>
    </mc:Choice>
  </mc:AlternateContent>
  <xr:revisionPtr revIDLastSave="0" documentId="13_ncr:1_{B465A344-550C-477A-8E4B-EFBC572D32FD}" xr6:coauthVersionLast="47" xr6:coauthVersionMax="47" xr10:uidLastSave="{00000000-0000-0000-0000-000000000000}"/>
  <bookViews>
    <workbookView xWindow="-108" yWindow="-108" windowWidth="23256" windowHeight="12456" tabRatio="679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14" i="3"/>
  <c r="E47" i="3"/>
  <c r="E36" i="3"/>
</calcChain>
</file>

<file path=xl/sharedStrings.xml><?xml version="1.0" encoding="utf-8"?>
<sst xmlns="http://schemas.openxmlformats.org/spreadsheetml/2006/main" count="2032" uniqueCount="327">
  <si>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</si>
  <si>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</si>
  <si>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</si>
  <si>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</si>
  <si>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</si>
  <si>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</si>
  <si>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</si>
  <si>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</si>
  <si>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</si>
  <si>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</si>
  <si>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</si>
  <si>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</si>
  <si>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</si>
  <si>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</si>
  <si>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</si>
  <si>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</si>
  <si>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</si>
  <si>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</si>
  <si>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</si>
  <si>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</si>
  <si>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</si>
  <si>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</si>
  <si>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</si>
  <si>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</si>
  <si>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</si>
  <si>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</si>
  <si>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</si>
  <si>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</si>
  <si>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</si>
  <si>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</si>
  <si>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</si>
  <si>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</si>
  <si>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</si>
  <si>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</si>
  <si>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</si>
  <si>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</si>
  <si>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</si>
  <si>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</si>
  <si>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</si>
  <si>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</si>
  <si>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</si>
  <si>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</si>
  <si>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</si>
  <si>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</si>
  <si>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</si>
  <si>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</si>
  <si>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</si>
  <si>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</si>
  <si>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</si>
  <si>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</si>
  <si>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</si>
  <si>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</si>
  <si>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</si>
  <si>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</si>
  <si>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</si>
  <si>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</si>
  <si>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</si>
  <si>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</si>
  <si>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</si>
  <si>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</si>
  <si>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</si>
  <si>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</si>
  <si>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</si>
  <si>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</si>
  <si>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</si>
  <si>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</si>
  <si>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</si>
  <si>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</si>
  <si>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</si>
  <si>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</si>
  <si>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</si>
  <si>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</si>
  <si>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</si>
  <si>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</si>
  <si>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</si>
  <si>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</si>
  <si>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</si>
  <si>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</si>
  <si>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</si>
  <si>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</si>
  <si>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</si>
  <si>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</si>
  <si>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</si>
  <si>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</si>
  <si>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</si>
  <si>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</si>
  <si>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</si>
  <si>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</si>
  <si>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</si>
  <si>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</si>
  <si>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</si>
  <si>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</si>
  <si>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</si>
  <si>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</si>
  <si>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</si>
  <si>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</si>
  <si>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</si>
  <si>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</si>
  <si>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</si>
  <si>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</si>
  <si>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</si>
  <si>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</si>
  <si>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</si>
  <si>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</si>
  <si>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</si>
  <si>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</si>
  <si>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</si>
  <si>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</si>
  <si>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</si>
  <si>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</si>
  <si>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</si>
  <si>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</si>
  <si>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</si>
  <si>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</si>
  <si>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</si>
  <si>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</si>
  <si>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</si>
  <si>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</si>
  <si>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</si>
  <si>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</si>
  <si>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</si>
  <si>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</si>
  <si>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</si>
  <si>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</si>
  <si>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</si>
  <si>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</si>
  <si>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</si>
  <si>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</si>
  <si>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</si>
  <si>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</si>
  <si>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</si>
  <si>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</si>
  <si>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</si>
  <si>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</si>
  <si>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</si>
  <si>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</si>
  <si>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</si>
  <si>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</si>
  <si>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</si>
  <si>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</si>
  <si>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</si>
  <si>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</si>
  <si>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</si>
  <si>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</si>
  <si>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</si>
  <si>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</si>
  <si>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</si>
  <si>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</si>
  <si>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</si>
  <si>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</si>
  <si>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</si>
  <si>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</si>
  <si>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</si>
  <si>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</si>
  <si>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</si>
  <si>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</si>
  <si>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</si>
  <si>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</si>
  <si>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</si>
  <si>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</si>
  <si>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</si>
  <si>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</si>
  <si>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</si>
  <si>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</si>
  <si>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</si>
  <si>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</si>
  <si>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</si>
  <si>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</si>
  <si>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</si>
  <si>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</si>
  <si>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</si>
  <si>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</si>
  <si>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</si>
  <si>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</si>
  <si>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</si>
  <si>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</si>
  <si>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</si>
  <si>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</si>
  <si>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</si>
  <si>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</si>
  <si>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</si>
  <si>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</si>
  <si>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</si>
  <si>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</si>
  <si>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</si>
  <si>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</si>
  <si>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</si>
  <si>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</si>
  <si>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</si>
  <si>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</si>
  <si>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</si>
  <si>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</si>
  <si>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</si>
  <si>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</si>
  <si>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</si>
  <si>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</si>
  <si>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</si>
  <si>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</si>
  <si>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</si>
  <si>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</si>
  <si>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</si>
  <si>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</si>
  <si>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</si>
  <si>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</si>
  <si>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</si>
  <si>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</si>
  <si>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</si>
  <si>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</si>
  <si>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</si>
  <si>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</si>
  <si>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</si>
  <si>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</si>
  <si>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</si>
  <si>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</si>
  <si>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</si>
  <si>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</si>
  <si>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</si>
  <si>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</si>
  <si>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</si>
  <si>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</si>
  <si>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</si>
  <si>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</si>
  <si>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</si>
  <si>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</si>
  <si>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</si>
  <si>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</si>
  <si>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</si>
  <si>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</si>
  <si>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</si>
  <si>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</si>
  <si>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</si>
  <si>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</si>
  <si>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</si>
  <si>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</si>
  <si>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</si>
  <si>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</si>
  <si>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</si>
  <si>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</si>
  <si>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</si>
  <si>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</si>
  <si>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</si>
  <si>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</si>
  <si>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</si>
  <si>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</si>
  <si>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</si>
  <si>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</si>
  <si>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</si>
  <si>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</si>
  <si>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</si>
  <si>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</si>
  <si>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</si>
  <si>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</si>
  <si>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</si>
  <si>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</si>
  <si>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</si>
  <si>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</si>
  <si>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</si>
  <si>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</si>
  <si>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</si>
  <si>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</si>
  <si>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</si>
  <si>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</si>
  <si>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</si>
  <si>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</si>
  <si>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</si>
  <si>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</si>
  <si>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</si>
  <si>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</si>
  <si>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</si>
  <si>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</si>
  <si>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</si>
  <si>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</si>
  <si>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</si>
  <si>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</si>
  <si>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</si>
  <si>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</si>
  <si>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</si>
  <si>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</si>
  <si>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</si>
  <si>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</si>
  <si>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</si>
  <si>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</si>
  <si>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</si>
  <si>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</si>
  <si>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</si>
  <si>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</si>
  <si>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</si>
  <si>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</si>
  <si>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</si>
  <si>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</si>
  <si>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</si>
  <si>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</si>
  <si>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</si>
  <si>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</si>
  <si>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</si>
  <si>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</si>
  <si>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</si>
  <si>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</si>
  <si>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</si>
  <si>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</si>
  <si>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</si>
  <si>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</si>
  <si>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</si>
  <si>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</si>
  <si>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</si>
  <si>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</si>
  <si>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</si>
  <si>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</si>
  <si>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</si>
  <si>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</si>
  <si>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</si>
  <si>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</si>
  <si>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</si>
  <si>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</si>
  <si>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</si>
  <si>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</si>
  <si>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t>Rótulos de Linha</t>
  </si>
  <si>
    <t>Total Geral</t>
  </si>
  <si>
    <t>XBOX GAMES PASS SUBSCRIPTIONS SALES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</si>
  <si>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anuais,</t>
    </r>
    <r>
      <rPr>
        <sz val="11"/>
        <color theme="1"/>
        <rFont val="Aptos Narrow"/>
        <family val="2"/>
        <scheme val="minor"/>
      </rPr>
      <t xml:space="preserve"> separados por auto renovação e sem renovação automática</t>
    </r>
  </si>
  <si>
    <t>INFORMAÇÃO:</t>
  </si>
  <si>
    <t>Soma de EA Play Season Pass</t>
  </si>
  <si>
    <t>(Tudo)</t>
  </si>
  <si>
    <r>
      <t xml:space="preserve">Pergunta de Negócio 3 - Qual o faturamento total de vendas de assinaturas do </t>
    </r>
    <r>
      <rPr>
        <b/>
        <sz val="11"/>
        <color theme="1"/>
        <rFont val="Aptos Narrow"/>
        <family val="2"/>
        <scheme val="minor"/>
      </rPr>
      <t>Minecraft Season Pass</t>
    </r>
  </si>
  <si>
    <t>Soma de Minecraft Season Pass Price</t>
  </si>
  <si>
    <r>
      <t xml:space="preserve">Pergunta de Negócio 3 -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EA Play Season Pass</t>
    </r>
  </si>
  <si>
    <r>
      <t xml:space="preserve">Pergunta de Negócio 4 -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anuais,</t>
    </r>
    <r>
      <rPr>
        <sz val="11"/>
        <color theme="1"/>
        <rFont val="Aptos Narrow"/>
        <family val="2"/>
        <scheme val="minor"/>
      </rPr>
      <t xml:space="preserve"> separados por tipo de plano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</si>
</sst>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44" fontId="0" fillId="0" borderId="0" xfId="2" applyFont="1"/>
    <xf numFmtId="0" fontId="0" fillId="4" borderId="0" xfId="0" applyFill="1" applyProtection="1">
      <protection hidden="1"/>
    </xf>
    <xf numFmtId="0" fontId="0" fillId="0" borderId="0" xfId="0" applyProtection="1">
      <protection hidden="1"/>
    </xf>
    <xf numFmtId="0" fontId="4" fillId="0" borderId="2" xfId="1" applyFont="1" applyBorder="1" applyAlignment="1" applyProtection="1">
      <alignment horizontal="left" indent="5"/>
      <protection hidden="1"/>
    </xf>
    <xf numFmtId="0" fontId="4" fillId="0" borderId="2" xfId="1" applyFont="1" applyBorder="1" applyProtection="1">
      <protection hidden="1"/>
    </xf>
    <xf numFmtId="0" fontId="0" fillId="7" borderId="0" xfId="0" applyFill="1" applyProtection="1">
      <protection hidden="1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C484BB6-06BD-43EC-89E6-CC6CBFE6D0A6}">
      <tableStyleElement type="wholeTable" dxfId="15"/>
      <tableStyleElement type="headerRow" dxfId="14"/>
    </tableStyle>
  </tableStyles>
  <colors>
    <mruColors>
      <color rgb="FF22C55E"/>
      <color rgb="FF5BF6A8"/>
      <color rgb="FFF7F8FC"/>
      <color rgb="FFE8E6E9"/>
      <color rgb="FF2AE6B1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Dashbard Xbox ONE.xlsx]C̳álculos!tbl_anual_total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4-469D-8478-6AC7AE28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1000943"/>
        <c:axId val="1140993263"/>
      </c:barChart>
      <c:catAx>
        <c:axId val="114100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993263"/>
        <c:crosses val="autoZero"/>
        <c:auto val="1"/>
        <c:lblAlgn val="ctr"/>
        <c:lblOffset val="100"/>
        <c:noMultiLvlLbl val="0"/>
      </c:catAx>
      <c:valAx>
        <c:axId val="114099326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4100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Dashbard Xbox ONE.xlsx]C̳álculos!Tabela dinâmica4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C̳álculos!$B$44:$B$47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C̳álculos!$C$44:$C$47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B-410D-BF55-EB5F21ED5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172287"/>
        <c:axId val="1529169887"/>
      </c:barChart>
      <c:catAx>
        <c:axId val="1529172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169887"/>
        <c:crosses val="autoZero"/>
        <c:auto val="1"/>
        <c:lblAlgn val="ctr"/>
        <c:lblOffset val="100"/>
        <c:noMultiLvlLbl val="0"/>
      </c:catAx>
      <c:valAx>
        <c:axId val="152916988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2917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386715</xdr:colOff>
      <xdr:row>22</xdr:row>
      <xdr:rowOff>45719</xdr:rowOff>
    </xdr:from>
    <xdr:to>
      <xdr:col>6</xdr:col>
      <xdr:colOff>107391</xdr:colOff>
      <xdr:row>26</xdr:row>
      <xdr:rowOff>36195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215515" y="423671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1771650</xdr:colOff>
      <xdr:row>0</xdr:row>
      <xdr:rowOff>0</xdr:rowOff>
    </xdr:from>
    <xdr:to>
      <xdr:col>2</xdr:col>
      <xdr:colOff>409574</xdr:colOff>
      <xdr:row>3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3B7CA3-26B0-4DDE-A363-3709B14D8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0" t="14517" r="70956" b="13860"/>
        <a:stretch>
          <a:fillRect/>
        </a:stretch>
      </xdr:blipFill>
      <xdr:spPr>
        <a:xfrm>
          <a:off x="1771650" y="0"/>
          <a:ext cx="666749" cy="7048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85726</xdr:rowOff>
    </xdr:from>
    <xdr:to>
      <xdr:col>0</xdr:col>
      <xdr:colOff>1775460</xdr:colOff>
      <xdr:row>12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7D11313-FB7B-4F5B-B915-C1973649FD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95376"/>
              <a:ext cx="177546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66675</xdr:colOff>
      <xdr:row>12</xdr:row>
      <xdr:rowOff>161924</xdr:rowOff>
    </xdr:from>
    <xdr:to>
      <xdr:col>9</xdr:col>
      <xdr:colOff>228600</xdr:colOff>
      <xdr:row>20</xdr:row>
      <xdr:rowOff>156210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F00021B5-492F-D582-633E-83CDD652852E}"/>
            </a:ext>
          </a:extLst>
        </xdr:cNvPr>
        <xdr:cNvGrpSpPr/>
      </xdr:nvGrpSpPr>
      <xdr:grpSpPr>
        <a:xfrm>
          <a:off x="1847850" y="2438399"/>
          <a:ext cx="4676775" cy="1442086"/>
          <a:chOff x="1847850" y="2371724"/>
          <a:chExt cx="4676775" cy="1442086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79EBA80-1617-0513-2D9F-E6A08048028D}"/>
              </a:ext>
            </a:extLst>
          </xdr:cNvPr>
          <xdr:cNvSpPr/>
        </xdr:nvSpPr>
        <xdr:spPr>
          <a:xfrm>
            <a:off x="1847851" y="2581274"/>
            <a:ext cx="4676774" cy="11700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030CF04-7322-4C29-AF3A-D584CD852FC8}"/>
              </a:ext>
            </a:extLst>
          </xdr:cNvPr>
          <xdr:cNvSpPr/>
        </xdr:nvSpPr>
        <xdr:spPr>
          <a:xfrm>
            <a:off x="3324225" y="2899411"/>
            <a:ext cx="3048000" cy="6762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9C89196-56EF-49BB-B9B5-96B9F2F93C4B}" type="TxLink">
              <a:rPr lang="en-US" sz="4400" b="0" i="0" u="none" strike="noStrike">
                <a:solidFill>
                  <a:srgbClr val="5BF6A8"/>
                </a:solidFill>
                <a:latin typeface="Aptos Narrow"/>
              </a:rPr>
              <a:pPr algn="ctr"/>
              <a:t> R$ 2.940,00 </a:t>
            </a:fld>
            <a:endParaRPr lang="pt-BR" sz="4400">
              <a:solidFill>
                <a:srgbClr val="5BF6A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FC2BEECD-A38B-41D1-866D-CBD13D4F1B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5500" y="2647950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E02BEBFC-2E33-4B58-3374-D8535D4355C9}"/>
              </a:ext>
            </a:extLst>
          </xdr:cNvPr>
          <xdr:cNvSpPr/>
        </xdr:nvSpPr>
        <xdr:spPr>
          <a:xfrm>
            <a:off x="1847850" y="2371724"/>
            <a:ext cx="4676400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EA PLAY SEASSON PASS</a:t>
            </a:r>
            <a:endParaRPr lang="pt-BR" sz="1100" b="1"/>
          </a:p>
        </xdr:txBody>
      </xdr:sp>
    </xdr:grpSp>
    <xdr:clientData/>
  </xdr:twoCellAnchor>
  <xdr:twoCellAnchor editAs="absolute">
    <xdr:from>
      <xdr:col>9</xdr:col>
      <xdr:colOff>419100</xdr:colOff>
      <xdr:row>12</xdr:row>
      <xdr:rowOff>161924</xdr:rowOff>
    </xdr:from>
    <xdr:to>
      <xdr:col>16</xdr:col>
      <xdr:colOff>990600</xdr:colOff>
      <xdr:row>20</xdr:row>
      <xdr:rowOff>55575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8A764A27-15B4-E999-241E-49CB09D53AAE}"/>
            </a:ext>
          </a:extLst>
        </xdr:cNvPr>
        <xdr:cNvGrpSpPr/>
      </xdr:nvGrpSpPr>
      <xdr:grpSpPr>
        <a:xfrm>
          <a:off x="6715125" y="2438399"/>
          <a:ext cx="4676775" cy="1341451"/>
          <a:chOff x="6715125" y="2371724"/>
          <a:chExt cx="4676775" cy="1341451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B4B8F601-26CD-ACBD-BF38-AC3183F6C696}"/>
              </a:ext>
            </a:extLst>
          </xdr:cNvPr>
          <xdr:cNvSpPr/>
        </xdr:nvSpPr>
        <xdr:spPr>
          <a:xfrm>
            <a:off x="6715126" y="2543175"/>
            <a:ext cx="4676774" cy="11700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6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B743D2C3-F9D7-EAB7-51D5-89AB2D651E00}"/>
              </a:ext>
            </a:extLst>
          </xdr:cNvPr>
          <xdr:cNvSpPr/>
        </xdr:nvSpPr>
        <xdr:spPr>
          <a:xfrm>
            <a:off x="8191500" y="2899411"/>
            <a:ext cx="3048000" cy="6762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566B37C-12FA-427E-A17C-200C4551ADB2}" type="TxLink">
              <a:rPr lang="en-US" sz="4400" b="0" i="0" u="none" strike="noStrike">
                <a:solidFill>
                  <a:srgbClr val="5BF6A8"/>
                </a:solidFill>
                <a:latin typeface="Aptos Narrow"/>
                <a:ea typeface="+mn-ea"/>
                <a:cs typeface="+mn-cs"/>
              </a:rPr>
              <a:pPr marL="0" indent="0" algn="ctr"/>
              <a:t> R$ 3.880,00 </a:t>
            </a:fld>
            <a:endParaRPr lang="pt-BR" sz="4400" b="0" i="0" u="none" strike="noStrike">
              <a:solidFill>
                <a:srgbClr val="5BF6A8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4BC90DDA-68BC-835D-58B5-C5FD2325E48D}"/>
              </a:ext>
            </a:extLst>
          </xdr:cNvPr>
          <xdr:cNvSpPr/>
        </xdr:nvSpPr>
        <xdr:spPr>
          <a:xfrm>
            <a:off x="6715125" y="2371724"/>
            <a:ext cx="4676400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MINECRAFT PLAY SEASSON PASS</a:t>
            </a:r>
            <a:endParaRPr lang="pt-BR" sz="1100" b="1"/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97B1EEE2-F9EA-4177-B020-28815DF30389}"/>
              </a:ext>
            </a:extLst>
          </xdr:cNvPr>
          <xdr:cNvGrpSpPr/>
        </xdr:nvGrpSpPr>
        <xdr:grpSpPr>
          <a:xfrm>
            <a:off x="6953250" y="2905125"/>
            <a:ext cx="1257300" cy="571500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51B195BA-8874-34CE-9D06-1989084C7D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960E5824-2C93-EBE7-2C61-96A5ECCF13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66675</xdr:colOff>
      <xdr:row>21</xdr:row>
      <xdr:rowOff>19050</xdr:rowOff>
    </xdr:from>
    <xdr:to>
      <xdr:col>9</xdr:col>
      <xdr:colOff>228600</xdr:colOff>
      <xdr:row>37</xdr:row>
      <xdr:rowOff>123825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1FA671E9-A6F9-ECC7-4829-90B0C782E856}"/>
            </a:ext>
          </a:extLst>
        </xdr:cNvPr>
        <xdr:cNvGrpSpPr/>
      </xdr:nvGrpSpPr>
      <xdr:grpSpPr>
        <a:xfrm>
          <a:off x="1847850" y="3924300"/>
          <a:ext cx="4676775" cy="3000375"/>
          <a:chOff x="1847850" y="3857625"/>
          <a:chExt cx="4676775" cy="300037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2DC53A56-884C-5CDE-34E6-E30ADA289ADD}"/>
              </a:ext>
            </a:extLst>
          </xdr:cNvPr>
          <xdr:cNvSpPr/>
        </xdr:nvSpPr>
        <xdr:spPr>
          <a:xfrm>
            <a:off x="1847850" y="3895725"/>
            <a:ext cx="4676775" cy="2962275"/>
          </a:xfrm>
          <a:prstGeom prst="roundRect">
            <a:avLst>
              <a:gd name="adj" fmla="val 766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E133310B-1675-4B80-8CC0-77BF130B0D55}"/>
              </a:ext>
            </a:extLst>
          </xdr:cNvPr>
          <xdr:cNvGraphicFramePr>
            <a:graphicFrameLocks/>
          </xdr:cNvGraphicFramePr>
        </xdr:nvGraphicFramePr>
        <xdr:xfrm>
          <a:off x="1923895" y="4015740"/>
          <a:ext cx="4562707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74AC4570-F8E7-4862-B1D6-25873D3F8AE8}"/>
              </a:ext>
            </a:extLst>
          </xdr:cNvPr>
          <xdr:cNvSpPr/>
        </xdr:nvSpPr>
        <xdr:spPr>
          <a:xfrm>
            <a:off x="1847850" y="3857625"/>
            <a:ext cx="4676775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XBOX GAME PASS - Por Auto Renewal</a:t>
            </a:r>
            <a:endParaRPr lang="pt-BR" sz="1100" b="1"/>
          </a:p>
        </xdr:txBody>
      </xdr:sp>
    </xdr:grpSp>
    <xdr:clientData/>
  </xdr:twoCellAnchor>
  <xdr:twoCellAnchor>
    <xdr:from>
      <xdr:col>0</xdr:col>
      <xdr:colOff>514350</xdr:colOff>
      <xdr:row>0</xdr:row>
      <xdr:rowOff>47625</xdr:rowOff>
    </xdr:from>
    <xdr:to>
      <xdr:col>0</xdr:col>
      <xdr:colOff>1209675</xdr:colOff>
      <xdr:row>3</xdr:row>
      <xdr:rowOff>24765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E1F867FB-3ED4-4222-8DE8-6E7C897CB99E}"/>
            </a:ext>
          </a:extLst>
        </xdr:cNvPr>
        <xdr:cNvSpPr/>
      </xdr:nvSpPr>
      <xdr:spPr>
        <a:xfrm>
          <a:off x="514350" y="47625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9525</xdr:colOff>
      <xdr:row>3</xdr:row>
      <xdr:rowOff>76200</xdr:rowOff>
    </xdr:from>
    <xdr:to>
      <xdr:col>0</xdr:col>
      <xdr:colOff>1571625</xdr:colOff>
      <xdr:row>5</xdr:row>
      <xdr:rowOff>95250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95F19671-EDFE-F7BE-237B-5419AA68161B}"/>
            </a:ext>
          </a:extLst>
        </xdr:cNvPr>
        <xdr:cNvSpPr/>
      </xdr:nvSpPr>
      <xdr:spPr>
        <a:xfrm>
          <a:off x="9525" y="762000"/>
          <a:ext cx="156210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&gt; Bem</a:t>
          </a:r>
          <a:r>
            <a:rPr lang="pt-BR" sz="1100" b="1" baseline="0"/>
            <a:t> vinda, Liana!</a:t>
          </a:r>
          <a:endParaRPr lang="pt-BR" sz="1100" b="1"/>
        </a:p>
      </xdr:txBody>
    </xdr:sp>
    <xdr:clientData/>
  </xdr:twoCellAnchor>
  <xdr:twoCellAnchor>
    <xdr:from>
      <xdr:col>1</xdr:col>
      <xdr:colOff>66674</xdr:colOff>
      <xdr:row>3</xdr:row>
      <xdr:rowOff>0</xdr:rowOff>
    </xdr:from>
    <xdr:to>
      <xdr:col>10</xdr:col>
      <xdr:colOff>552449</xdr:colOff>
      <xdr:row>5</xdr:row>
      <xdr:rowOff>38100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F8C0B35B-0B68-42A5-B1E2-27FA9FCA3D16}"/>
            </a:ext>
          </a:extLst>
        </xdr:cNvPr>
        <xdr:cNvSpPr/>
      </xdr:nvSpPr>
      <xdr:spPr>
        <a:xfrm>
          <a:off x="1847849" y="685800"/>
          <a:ext cx="5610225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0">
              <a:solidFill>
                <a:schemeClr val="bg1">
                  <a:lumMod val="50000"/>
                </a:schemeClr>
              </a:solidFill>
            </a:rPr>
            <a:t>Calculat period: 01/01/2024 - 31/12/2024 | Update date: 01/01/2025 09:00:00</a:t>
          </a:r>
        </a:p>
      </xdr:txBody>
    </xdr:sp>
    <xdr:clientData/>
  </xdr:twoCellAnchor>
  <xdr:twoCellAnchor editAs="absolute">
    <xdr:from>
      <xdr:col>0</xdr:col>
      <xdr:colOff>0</xdr:colOff>
      <xdr:row>13</xdr:row>
      <xdr:rowOff>135255</xdr:rowOff>
    </xdr:from>
    <xdr:to>
      <xdr:col>0</xdr:col>
      <xdr:colOff>1774800</xdr:colOff>
      <xdr:row>20</xdr:row>
      <xdr:rowOff>146430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lan">
              <a:extLst>
                <a:ext uri="{FF2B5EF4-FFF2-40B4-BE49-F238E27FC236}">
                  <a16:creationId xmlns:a16="http://schemas.microsoft.com/office/drawing/2014/main" id="{37760AA9-ADC7-79C8-6118-C780ABD6F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92705"/>
              <a:ext cx="1774800" cy="127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419100</xdr:colOff>
      <xdr:row>21</xdr:row>
      <xdr:rowOff>19050</xdr:rowOff>
    </xdr:from>
    <xdr:to>
      <xdr:col>16</xdr:col>
      <xdr:colOff>990600</xdr:colOff>
      <xdr:row>37</xdr:row>
      <xdr:rowOff>123825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99581925-DBF5-A31E-0C29-AB80C62EC0A8}"/>
            </a:ext>
          </a:extLst>
        </xdr:cNvPr>
        <xdr:cNvGrpSpPr/>
      </xdr:nvGrpSpPr>
      <xdr:grpSpPr>
        <a:xfrm>
          <a:off x="6715125" y="3924300"/>
          <a:ext cx="4676775" cy="3000375"/>
          <a:chOff x="6715125" y="3857625"/>
          <a:chExt cx="4676775" cy="3000375"/>
        </a:xfrm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4FBF3F1A-B932-FDC3-5E5B-13D31BC49FE2}"/>
              </a:ext>
            </a:extLst>
          </xdr:cNvPr>
          <xdr:cNvSpPr/>
        </xdr:nvSpPr>
        <xdr:spPr>
          <a:xfrm>
            <a:off x="6715125" y="3895725"/>
            <a:ext cx="4676775" cy="2962275"/>
          </a:xfrm>
          <a:prstGeom prst="roundRect">
            <a:avLst>
              <a:gd name="adj" fmla="val 766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3F643060-08D2-4EC8-9B13-C49199499FAF}"/>
              </a:ext>
            </a:extLst>
          </xdr:cNvPr>
          <xdr:cNvGraphicFramePr>
            <a:graphicFrameLocks/>
          </xdr:cNvGraphicFramePr>
        </xdr:nvGraphicFramePr>
        <xdr:xfrm>
          <a:off x="6743700" y="4015739"/>
          <a:ext cx="45612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A0178FF6-6E8B-4CDC-A96D-656241EE35D9}"/>
              </a:ext>
            </a:extLst>
          </xdr:cNvPr>
          <xdr:cNvSpPr/>
        </xdr:nvSpPr>
        <xdr:spPr>
          <a:xfrm>
            <a:off x="6715125" y="3857625"/>
            <a:ext cx="4676775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XBOX GAME PASS - Por Plan</a:t>
            </a:r>
            <a:endParaRPr lang="pt-BR" sz="1100" b="1"/>
          </a:p>
        </xdr:txBody>
      </xdr:sp>
    </xdr:grpSp>
    <xdr:clientData/>
  </xdr:twoCellAnchor>
  <xdr:twoCellAnchor>
    <xdr:from>
      <xdr:col>1</xdr:col>
      <xdr:colOff>66675</xdr:colOff>
      <xdr:row>5</xdr:row>
      <xdr:rowOff>57149</xdr:rowOff>
    </xdr:from>
    <xdr:to>
      <xdr:col>16</xdr:col>
      <xdr:colOff>990600</xdr:colOff>
      <xdr:row>12</xdr:row>
      <xdr:rowOff>38100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729EB47-EBDA-1674-B1D8-4377B3A539E1}"/>
            </a:ext>
          </a:extLst>
        </xdr:cNvPr>
        <xdr:cNvGrpSpPr/>
      </xdr:nvGrpSpPr>
      <xdr:grpSpPr>
        <a:xfrm>
          <a:off x="1847850" y="933449"/>
          <a:ext cx="9544050" cy="1381126"/>
          <a:chOff x="1847850" y="933449"/>
          <a:chExt cx="9544050" cy="1381126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FD12EFE0-5219-3653-6797-F97DD12BFA0F}"/>
              </a:ext>
            </a:extLst>
          </xdr:cNvPr>
          <xdr:cNvSpPr/>
        </xdr:nvSpPr>
        <xdr:spPr>
          <a:xfrm>
            <a:off x="1847851" y="1104900"/>
            <a:ext cx="9544049" cy="12096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7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CD54774C-CC56-D77C-AEAB-4EDC6566AA82}"/>
              </a:ext>
            </a:extLst>
          </xdr:cNvPr>
          <xdr:cNvSpPr/>
        </xdr:nvSpPr>
        <xdr:spPr>
          <a:xfrm>
            <a:off x="6502481" y="1371601"/>
            <a:ext cx="4079794" cy="904874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E38D896E-3BD8-4028-8B20-6FC91EC9C640}" type="TxLink">
              <a:rPr lang="en-US" sz="6000" b="0" i="0" u="none" strike="noStrike">
                <a:solidFill>
                  <a:srgbClr val="5BF6A8"/>
                </a:solidFill>
                <a:latin typeface="Aptos Narrow"/>
                <a:ea typeface="+mn-ea"/>
                <a:cs typeface="+mn-cs"/>
              </a:rPr>
              <a:pPr marL="0" indent="0" algn="ctr"/>
              <a:t> R$ 7.633,00 </a:t>
            </a:fld>
            <a:endParaRPr lang="pt-BR" sz="6000" b="0" i="0" u="none" strike="noStrike">
              <a:solidFill>
                <a:srgbClr val="5BF6A8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C19014E8-3311-E02F-C293-1AB683ACC027}"/>
              </a:ext>
            </a:extLst>
          </xdr:cNvPr>
          <xdr:cNvSpPr/>
        </xdr:nvSpPr>
        <xdr:spPr>
          <a:xfrm>
            <a:off x="1847850" y="933449"/>
            <a:ext cx="9543516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SUBSCRIPTIONS XBOX GAMES</a:t>
            </a:r>
            <a:endParaRPr lang="pt-BR" sz="1400" b="1"/>
          </a:p>
        </xdr:txBody>
      </xdr:sp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FC2397AE-1B68-4140-A389-BDF2F8C67D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305175" y="1466850"/>
            <a:ext cx="2616554" cy="7620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Jose Barbosa Castro" refreshedDate="46061.783307523147" createdVersion="8" refreshedVersion="8" minRefreshableVersion="3" recordCount="295" xr:uid="{724DC9C9-FDC8-4365-8CDD-4E4C9508D68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70421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F0024-EF99-4CF8-B0FF-A5C4FEEFBB94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79F24-CE47-424D-8492-8BE54D5E2F35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43:C4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A39AC-552D-4A42-A121-4EBF0C17AFA8}" name="tbl_minecraft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4BECE-8D86-41B3-81F5-1CC247D6BA2F}" name="tbl_eaplay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9515511D-DC3E-42F5-A1FB-C49CB902ADF1}" sourceName="Plan">
  <pivotTables>
    <pivotTable tabId="3" name="Tabela dinâmica4"/>
    <pivotTable tabId="3" name="tbl_anual_total"/>
    <pivotTable tabId="3" name="tbl_eaplayseasonpass_total"/>
    <pivotTable tabId="3" name="tbl_minecraftseasonpass_total"/>
  </pivotTables>
  <data>
    <tabular pivotCacheId="167042123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1F2BE3D-EA01-4FE7-B75B-5E6C2DFA728F}" sourceName="Subscription Type">
  <pivotTables>
    <pivotTable tabId="3" name="tbl_anual_total"/>
    <pivotTable tabId="3" name="tbl_eaplayseasonpass_total"/>
    <pivotTable tabId="3" name="tbl_minecraftseasonpass_total"/>
    <pivotTable tabId="3" name="Tabela dinâmica4"/>
  </pivotTables>
  <data>
    <tabular pivotCacheId="16704212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2C68E40A-90D4-4CB3-96CA-2A67FDD6D1DC}" cache="SegmentaçãodeDados_Plan" caption="Plan" style="SlicerStyleLight6 2" rowHeight="247650"/>
  <slicer name="Subscription Type" xr10:uid="{5BCCDF56-2AD1-4013-8F69-516DCF1F9BBC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Normal="100" workbookViewId="0">
      <selection activeCell="E33" sqref="E3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zoomScale="90" zoomScaleNormal="90" workbookViewId="0">
      <pane ySplit="1" topLeftCell="A2" activePane="bottomLeft" state="frozen"/>
      <selection activeCell="E33" sqref="E33"/>
      <selection pane="bottomLeft" activeCell="E33" sqref="E3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B2:E47"/>
  <sheetViews>
    <sheetView showGridLines="0" topLeftCell="A28" workbookViewId="0">
      <selection activeCell="E33" sqref="E33"/>
    </sheetView>
  </sheetViews>
  <sheetFormatPr defaultRowHeight="14.4" x14ac:dyDescent="0.3"/>
  <cols>
    <col min="2" max="2" width="16.77734375" bestFit="1" customWidth="1"/>
    <col min="3" max="3" width="17.88671875" bestFit="1" customWidth="1"/>
    <col min="4" max="4" width="32.21875" bestFit="1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5" x14ac:dyDescent="0.3">
      <c r="B2" s="15" t="s">
        <v>320</v>
      </c>
    </row>
    <row r="3" spans="2:5" x14ac:dyDescent="0.3">
      <c r="B3" t="s">
        <v>313</v>
      </c>
    </row>
    <row r="6" spans="2:5" x14ac:dyDescent="0.3">
      <c r="B6" t="s">
        <v>314</v>
      </c>
    </row>
    <row r="7" spans="2:5" x14ac:dyDescent="0.3">
      <c r="B7" t="s">
        <v>319</v>
      </c>
    </row>
    <row r="9" spans="2:5" x14ac:dyDescent="0.3">
      <c r="B9" s="13" t="s">
        <v>16</v>
      </c>
      <c r="C9" t="s">
        <v>322</v>
      </c>
    </row>
    <row r="11" spans="2:5" x14ac:dyDescent="0.3">
      <c r="B11" s="13" t="s">
        <v>316</v>
      </c>
      <c r="C11" t="s">
        <v>315</v>
      </c>
    </row>
    <row r="12" spans="2:5" x14ac:dyDescent="0.3">
      <c r="B12" s="14" t="s">
        <v>23</v>
      </c>
      <c r="C12" s="12">
        <v>3847</v>
      </c>
    </row>
    <row r="13" spans="2:5" x14ac:dyDescent="0.3">
      <c r="B13" s="14" t="s">
        <v>19</v>
      </c>
      <c r="C13" s="12">
        <v>3786</v>
      </c>
    </row>
    <row r="14" spans="2:5" x14ac:dyDescent="0.3">
      <c r="B14" s="14" t="s">
        <v>317</v>
      </c>
      <c r="C14" s="12">
        <v>7633</v>
      </c>
      <c r="E14" s="16">
        <f>GETPIVOTDATA("Total Value",$B$11)</f>
        <v>7633</v>
      </c>
    </row>
    <row r="17" spans="2:5" x14ac:dyDescent="0.3">
      <c r="B17" s="14" t="s">
        <v>325</v>
      </c>
    </row>
    <row r="19" spans="2:5" x14ac:dyDescent="0.3">
      <c r="B19" s="13" t="s">
        <v>16</v>
      </c>
      <c r="C19" t="s">
        <v>322</v>
      </c>
    </row>
    <row r="21" spans="2:5" x14ac:dyDescent="0.3">
      <c r="B21" s="13" t="s">
        <v>316</v>
      </c>
      <c r="C21" t="s">
        <v>321</v>
      </c>
    </row>
    <row r="22" spans="2:5" x14ac:dyDescent="0.3">
      <c r="B22" s="14" t="s">
        <v>22</v>
      </c>
      <c r="C22" s="22">
        <v>0</v>
      </c>
    </row>
    <row r="23" spans="2:5" x14ac:dyDescent="0.3">
      <c r="B23" s="14" t="s">
        <v>26</v>
      </c>
      <c r="C23" s="22">
        <v>0</v>
      </c>
    </row>
    <row r="24" spans="2:5" x14ac:dyDescent="0.3">
      <c r="B24" s="14" t="s">
        <v>18</v>
      </c>
      <c r="C24" s="22">
        <v>2940</v>
      </c>
    </row>
    <row r="25" spans="2:5" x14ac:dyDescent="0.3">
      <c r="B25" s="14" t="s">
        <v>317</v>
      </c>
      <c r="C25" s="22">
        <v>2940</v>
      </c>
      <c r="E25" s="16">
        <f>GETPIVOTDATA("EA Play Season Pass
Price",$B$21)</f>
        <v>2940</v>
      </c>
    </row>
    <row r="28" spans="2:5" x14ac:dyDescent="0.3">
      <c r="B28" s="14" t="s">
        <v>323</v>
      </c>
    </row>
    <row r="30" spans="2:5" x14ac:dyDescent="0.3">
      <c r="B30" s="13" t="s">
        <v>16</v>
      </c>
      <c r="C30" t="s">
        <v>322</v>
      </c>
    </row>
    <row r="32" spans="2:5" x14ac:dyDescent="0.3">
      <c r="B32" s="13" t="s">
        <v>316</v>
      </c>
      <c r="C32" t="s">
        <v>324</v>
      </c>
    </row>
    <row r="33" spans="2:5" x14ac:dyDescent="0.3">
      <c r="B33" s="14" t="s">
        <v>22</v>
      </c>
      <c r="C33" s="12">
        <v>0</v>
      </c>
    </row>
    <row r="34" spans="2:5" x14ac:dyDescent="0.3">
      <c r="B34" s="14" t="s">
        <v>26</v>
      </c>
      <c r="C34" s="12">
        <v>1920</v>
      </c>
    </row>
    <row r="35" spans="2:5" x14ac:dyDescent="0.3">
      <c r="B35" s="14" t="s">
        <v>18</v>
      </c>
      <c r="C35" s="12">
        <v>1960</v>
      </c>
    </row>
    <row r="36" spans="2:5" x14ac:dyDescent="0.3">
      <c r="B36" s="14" t="s">
        <v>317</v>
      </c>
      <c r="C36" s="12">
        <v>3880</v>
      </c>
      <c r="E36" s="16">
        <f>GETPIVOTDATA("Minecraft Season Pass Price",$B$32)</f>
        <v>3880</v>
      </c>
    </row>
    <row r="39" spans="2:5" x14ac:dyDescent="0.3">
      <c r="B39" t="s">
        <v>326</v>
      </c>
    </row>
    <row r="41" spans="2:5" x14ac:dyDescent="0.3">
      <c r="B41" s="13" t="s">
        <v>16</v>
      </c>
      <c r="C41" t="s">
        <v>322</v>
      </c>
    </row>
    <row r="43" spans="2:5" x14ac:dyDescent="0.3">
      <c r="B43" s="13" t="s">
        <v>316</v>
      </c>
      <c r="C43" t="s">
        <v>315</v>
      </c>
    </row>
    <row r="44" spans="2:5" x14ac:dyDescent="0.3">
      <c r="B44" s="14" t="s">
        <v>22</v>
      </c>
      <c r="C44" s="12">
        <v>444</v>
      </c>
    </row>
    <row r="45" spans="2:5" x14ac:dyDescent="0.3">
      <c r="B45" s="14" t="s">
        <v>26</v>
      </c>
      <c r="C45" s="12">
        <v>1801</v>
      </c>
    </row>
    <row r="46" spans="2:5" x14ac:dyDescent="0.3">
      <c r="B46" s="14" t="s">
        <v>18</v>
      </c>
      <c r="C46" s="12">
        <v>5388</v>
      </c>
    </row>
    <row r="47" spans="2:5" x14ac:dyDescent="0.3">
      <c r="B47" s="14" t="s">
        <v>317</v>
      </c>
      <c r="C47" s="12">
        <v>7633</v>
      </c>
      <c r="E47" s="16">
        <f>GETPIVOTDATA("Total Value",$B$43)</f>
        <v>7633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1:Q469"/>
  <sheetViews>
    <sheetView showGridLines="0" showRowColHeaders="0" tabSelected="1" zoomScale="80" zoomScaleNormal="80" workbookViewId="0">
      <selection activeCell="R12" sqref="R12"/>
    </sheetView>
  </sheetViews>
  <sheetFormatPr defaultRowHeight="14.4" x14ac:dyDescent="0.3"/>
  <cols>
    <col min="1" max="1" width="26" style="17" customWidth="1"/>
    <col min="2" max="2" width="3.5546875" style="18" customWidth="1"/>
    <col min="3" max="11" width="8.88671875" style="18"/>
    <col min="12" max="12" width="6.5546875" style="18" customWidth="1"/>
    <col min="13" max="16" width="8.88671875" style="18"/>
    <col min="17" max="17" width="14.5546875" style="18" customWidth="1"/>
    <col min="18" max="16384" width="8.88671875" style="18"/>
  </cols>
  <sheetData>
    <row r="1" spans="1:17" ht="15" customHeight="1" x14ac:dyDescent="0.3"/>
    <row r="2" spans="1:17" ht="24" thickBot="1" x14ac:dyDescent="0.6">
      <c r="C2" s="19" t="s">
        <v>318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5" customHeight="1" thickTop="1" x14ac:dyDescent="0.3"/>
    <row r="4" spans="1:17" s="21" customFormat="1" ht="8.25" customHeight="1" x14ac:dyDescent="0.3">
      <c r="A4" s="17"/>
    </row>
    <row r="5" spans="1:17" s="21" customFormat="1" ht="7.5" customHeight="1" x14ac:dyDescent="0.3">
      <c r="A5" s="17"/>
    </row>
    <row r="6" spans="1:17" s="21" customFormat="1" ht="10.5" customHeight="1" x14ac:dyDescent="0.3">
      <c r="A6" s="17"/>
    </row>
    <row r="7" spans="1:17" s="21" customFormat="1" ht="9.75" customHeight="1" x14ac:dyDescent="0.3">
      <c r="A7" s="17"/>
    </row>
    <row r="8" spans="1:17" s="21" customFormat="1" ht="33" customHeight="1" x14ac:dyDescent="0.3">
      <c r="A8" s="17"/>
    </row>
    <row r="9" spans="1:17" s="21" customFormat="1" x14ac:dyDescent="0.3">
      <c r="A9" s="17"/>
    </row>
    <row r="10" spans="1:17" s="21" customFormat="1" x14ac:dyDescent="0.3">
      <c r="A10" s="17"/>
    </row>
    <row r="11" spans="1:17" s="21" customFormat="1" x14ac:dyDescent="0.3">
      <c r="A11" s="17"/>
    </row>
    <row r="12" spans="1:17" s="21" customFormat="1" x14ac:dyDescent="0.3">
      <c r="A12" s="17"/>
    </row>
    <row r="13" spans="1:17" s="21" customFormat="1" x14ac:dyDescent="0.3">
      <c r="A13" s="17"/>
    </row>
    <row r="14" spans="1:17" s="21" customFormat="1" x14ac:dyDescent="0.3">
      <c r="A14" s="17"/>
    </row>
    <row r="15" spans="1:17" s="21" customFormat="1" x14ac:dyDescent="0.3">
      <c r="A15" s="17"/>
    </row>
    <row r="16" spans="1:17" s="21" customFormat="1" x14ac:dyDescent="0.3">
      <c r="A16" s="17"/>
    </row>
    <row r="17" spans="1:1" s="21" customFormat="1" x14ac:dyDescent="0.3">
      <c r="A17" s="17"/>
    </row>
    <row r="18" spans="1:1" s="21" customFormat="1" x14ac:dyDescent="0.3">
      <c r="A18" s="17"/>
    </row>
    <row r="19" spans="1:1" s="21" customFormat="1" x14ac:dyDescent="0.3">
      <c r="A19" s="17"/>
    </row>
    <row r="20" spans="1:1" s="21" customFormat="1" x14ac:dyDescent="0.3">
      <c r="A20" s="17"/>
    </row>
    <row r="21" spans="1:1" s="21" customFormat="1" x14ac:dyDescent="0.3">
      <c r="A21" s="17"/>
    </row>
    <row r="22" spans="1:1" s="21" customFormat="1" x14ac:dyDescent="0.3">
      <c r="A22" s="17"/>
    </row>
    <row r="23" spans="1:1" s="21" customFormat="1" x14ac:dyDescent="0.3">
      <c r="A23" s="17"/>
    </row>
    <row r="24" spans="1:1" s="21" customFormat="1" x14ac:dyDescent="0.3">
      <c r="A24" s="17"/>
    </row>
    <row r="25" spans="1:1" s="21" customFormat="1" x14ac:dyDescent="0.3">
      <c r="A25" s="17"/>
    </row>
    <row r="26" spans="1:1" s="21" customFormat="1" x14ac:dyDescent="0.3">
      <c r="A26" s="17"/>
    </row>
    <row r="27" spans="1:1" s="21" customFormat="1" x14ac:dyDescent="0.3">
      <c r="A27" s="17"/>
    </row>
    <row r="28" spans="1:1" s="21" customFormat="1" x14ac:dyDescent="0.3">
      <c r="A28" s="17"/>
    </row>
    <row r="29" spans="1:1" s="21" customFormat="1" x14ac:dyDescent="0.3">
      <c r="A29" s="17"/>
    </row>
    <row r="30" spans="1:1" s="21" customFormat="1" x14ac:dyDescent="0.3">
      <c r="A30" s="17"/>
    </row>
    <row r="31" spans="1:1" s="21" customFormat="1" x14ac:dyDescent="0.3">
      <c r="A31" s="17"/>
    </row>
    <row r="32" spans="1:1" s="21" customFormat="1" x14ac:dyDescent="0.3">
      <c r="A32" s="17"/>
    </row>
    <row r="33" spans="1:1" s="21" customFormat="1" x14ac:dyDescent="0.3">
      <c r="A33" s="17"/>
    </row>
    <row r="34" spans="1:1" s="21" customFormat="1" x14ac:dyDescent="0.3">
      <c r="A34" s="17"/>
    </row>
    <row r="35" spans="1:1" s="21" customFormat="1" x14ac:dyDescent="0.3">
      <c r="A35" s="17"/>
    </row>
    <row r="36" spans="1:1" s="21" customFormat="1" x14ac:dyDescent="0.3">
      <c r="A36" s="17"/>
    </row>
    <row r="37" spans="1:1" s="21" customFormat="1" x14ac:dyDescent="0.3">
      <c r="A37" s="17"/>
    </row>
    <row r="38" spans="1:1" s="21" customFormat="1" x14ac:dyDescent="0.3">
      <c r="A38" s="17"/>
    </row>
    <row r="39" spans="1:1" s="21" customFormat="1" x14ac:dyDescent="0.3">
      <c r="A39" s="17"/>
    </row>
    <row r="40" spans="1:1" s="21" customFormat="1" x14ac:dyDescent="0.3">
      <c r="A40" s="17"/>
    </row>
    <row r="41" spans="1:1" s="21" customFormat="1" x14ac:dyDescent="0.3">
      <c r="A41" s="17"/>
    </row>
    <row r="42" spans="1:1" s="21" customFormat="1" x14ac:dyDescent="0.3">
      <c r="A42" s="17"/>
    </row>
    <row r="43" spans="1:1" s="21" customFormat="1" x14ac:dyDescent="0.3">
      <c r="A43" s="17"/>
    </row>
    <row r="44" spans="1:1" s="21" customFormat="1" x14ac:dyDescent="0.3">
      <c r="A44" s="17"/>
    </row>
    <row r="45" spans="1:1" s="21" customFormat="1" x14ac:dyDescent="0.3">
      <c r="A45" s="17"/>
    </row>
    <row r="46" spans="1:1" s="21" customFormat="1" x14ac:dyDescent="0.3">
      <c r="A46" s="17"/>
    </row>
    <row r="47" spans="1:1" s="21" customFormat="1" x14ac:dyDescent="0.3">
      <c r="A47" s="17"/>
    </row>
    <row r="48" spans="1:1" s="21" customFormat="1" x14ac:dyDescent="0.3">
      <c r="A48" s="17"/>
    </row>
    <row r="49" spans="1:1" s="21" customFormat="1" x14ac:dyDescent="0.3">
      <c r="A49" s="17"/>
    </row>
    <row r="50" spans="1:1" s="21" customFormat="1" x14ac:dyDescent="0.3">
      <c r="A50" s="17"/>
    </row>
    <row r="51" spans="1:1" s="21" customFormat="1" x14ac:dyDescent="0.3">
      <c r="A51" s="17"/>
    </row>
    <row r="52" spans="1:1" s="21" customFormat="1" x14ac:dyDescent="0.3">
      <c r="A52" s="17"/>
    </row>
    <row r="53" spans="1:1" s="21" customFormat="1" x14ac:dyDescent="0.3">
      <c r="A53" s="17"/>
    </row>
    <row r="54" spans="1:1" s="21" customFormat="1" x14ac:dyDescent="0.3">
      <c r="A54" s="17"/>
    </row>
    <row r="55" spans="1:1" s="21" customFormat="1" x14ac:dyDescent="0.3">
      <c r="A55" s="17"/>
    </row>
    <row r="56" spans="1:1" s="21" customFormat="1" x14ac:dyDescent="0.3">
      <c r="A56" s="17"/>
    </row>
    <row r="57" spans="1:1" s="21" customFormat="1" x14ac:dyDescent="0.3">
      <c r="A57" s="17"/>
    </row>
    <row r="58" spans="1:1" s="21" customFormat="1" x14ac:dyDescent="0.3">
      <c r="A58" s="17"/>
    </row>
    <row r="59" spans="1:1" s="21" customFormat="1" x14ac:dyDescent="0.3">
      <c r="A59" s="17"/>
    </row>
    <row r="60" spans="1:1" s="21" customFormat="1" x14ac:dyDescent="0.3">
      <c r="A60" s="17"/>
    </row>
    <row r="61" spans="1:1" s="21" customFormat="1" x14ac:dyDescent="0.3">
      <c r="A61" s="17"/>
    </row>
    <row r="62" spans="1:1" s="21" customFormat="1" x14ac:dyDescent="0.3">
      <c r="A62" s="17"/>
    </row>
    <row r="63" spans="1:1" s="21" customFormat="1" x14ac:dyDescent="0.3">
      <c r="A63" s="17"/>
    </row>
    <row r="64" spans="1:1" s="21" customFormat="1" x14ac:dyDescent="0.3">
      <c r="A64" s="17"/>
    </row>
    <row r="65" spans="1:1" s="21" customFormat="1" x14ac:dyDescent="0.3">
      <c r="A65" s="17"/>
    </row>
    <row r="66" spans="1:1" s="21" customFormat="1" x14ac:dyDescent="0.3">
      <c r="A66" s="17"/>
    </row>
    <row r="67" spans="1:1" s="21" customFormat="1" x14ac:dyDescent="0.3">
      <c r="A67" s="17"/>
    </row>
    <row r="68" spans="1:1" s="21" customFormat="1" x14ac:dyDescent="0.3">
      <c r="A68" s="17"/>
    </row>
    <row r="69" spans="1:1" s="21" customFormat="1" x14ac:dyDescent="0.3">
      <c r="A69" s="17"/>
    </row>
    <row r="70" spans="1:1" s="21" customFormat="1" x14ac:dyDescent="0.3">
      <c r="A70" s="17"/>
    </row>
    <row r="71" spans="1:1" s="21" customFormat="1" x14ac:dyDescent="0.3">
      <c r="A71" s="17"/>
    </row>
    <row r="72" spans="1:1" s="21" customFormat="1" x14ac:dyDescent="0.3">
      <c r="A72" s="17"/>
    </row>
    <row r="73" spans="1:1" s="21" customFormat="1" x14ac:dyDescent="0.3">
      <c r="A73" s="17"/>
    </row>
    <row r="74" spans="1:1" s="21" customFormat="1" x14ac:dyDescent="0.3">
      <c r="A74" s="17"/>
    </row>
    <row r="75" spans="1:1" s="21" customFormat="1" x14ac:dyDescent="0.3">
      <c r="A75" s="17"/>
    </row>
    <row r="76" spans="1:1" s="21" customFormat="1" x14ac:dyDescent="0.3">
      <c r="A76" s="17"/>
    </row>
    <row r="77" spans="1:1" s="21" customFormat="1" x14ac:dyDescent="0.3">
      <c r="A77" s="17"/>
    </row>
    <row r="78" spans="1:1" s="21" customFormat="1" x14ac:dyDescent="0.3">
      <c r="A78" s="17"/>
    </row>
    <row r="79" spans="1:1" s="21" customFormat="1" x14ac:dyDescent="0.3">
      <c r="A79" s="17"/>
    </row>
    <row r="80" spans="1:1" s="21" customFormat="1" x14ac:dyDescent="0.3">
      <c r="A80" s="17"/>
    </row>
    <row r="81" spans="1:1" s="21" customFormat="1" x14ac:dyDescent="0.3">
      <c r="A81" s="17"/>
    </row>
    <row r="82" spans="1:1" s="21" customFormat="1" x14ac:dyDescent="0.3">
      <c r="A82" s="17"/>
    </row>
    <row r="83" spans="1:1" s="21" customFormat="1" x14ac:dyDescent="0.3">
      <c r="A83" s="17"/>
    </row>
    <row r="84" spans="1:1" s="21" customFormat="1" x14ac:dyDescent="0.3">
      <c r="A84" s="17"/>
    </row>
    <row r="85" spans="1:1" s="21" customFormat="1" x14ac:dyDescent="0.3">
      <c r="A85" s="17"/>
    </row>
    <row r="86" spans="1:1" s="21" customFormat="1" x14ac:dyDescent="0.3">
      <c r="A86" s="17"/>
    </row>
    <row r="87" spans="1:1" s="21" customFormat="1" x14ac:dyDescent="0.3">
      <c r="A87" s="17"/>
    </row>
    <row r="88" spans="1:1" s="21" customFormat="1" x14ac:dyDescent="0.3">
      <c r="A88" s="17"/>
    </row>
    <row r="89" spans="1:1" s="21" customFormat="1" x14ac:dyDescent="0.3">
      <c r="A89" s="17"/>
    </row>
    <row r="90" spans="1:1" s="21" customFormat="1" x14ac:dyDescent="0.3">
      <c r="A90" s="17"/>
    </row>
    <row r="91" spans="1:1" s="21" customFormat="1" x14ac:dyDescent="0.3">
      <c r="A91" s="17"/>
    </row>
    <row r="92" spans="1:1" s="21" customFormat="1" x14ac:dyDescent="0.3">
      <c r="A92" s="17"/>
    </row>
    <row r="93" spans="1:1" s="21" customFormat="1" x14ac:dyDescent="0.3">
      <c r="A93" s="17"/>
    </row>
    <row r="94" spans="1:1" s="21" customFormat="1" x14ac:dyDescent="0.3">
      <c r="A94" s="17"/>
    </row>
    <row r="95" spans="1:1" s="21" customFormat="1" x14ac:dyDescent="0.3">
      <c r="A95" s="17"/>
    </row>
    <row r="96" spans="1:1" s="21" customFormat="1" x14ac:dyDescent="0.3">
      <c r="A96" s="17"/>
    </row>
    <row r="97" spans="1:1" s="21" customFormat="1" x14ac:dyDescent="0.3">
      <c r="A97" s="17"/>
    </row>
    <row r="98" spans="1:1" s="21" customFormat="1" x14ac:dyDescent="0.3">
      <c r="A98" s="17"/>
    </row>
    <row r="99" spans="1:1" s="21" customFormat="1" x14ac:dyDescent="0.3">
      <c r="A99" s="17"/>
    </row>
    <row r="100" spans="1:1" s="21" customFormat="1" x14ac:dyDescent="0.3">
      <c r="A100" s="17"/>
    </row>
    <row r="101" spans="1:1" s="21" customFormat="1" x14ac:dyDescent="0.3">
      <c r="A101" s="17"/>
    </row>
    <row r="102" spans="1:1" s="21" customFormat="1" x14ac:dyDescent="0.3">
      <c r="A102" s="17"/>
    </row>
    <row r="103" spans="1:1" s="21" customFormat="1" x14ac:dyDescent="0.3">
      <c r="A103" s="17"/>
    </row>
    <row r="104" spans="1:1" s="21" customFormat="1" x14ac:dyDescent="0.3">
      <c r="A104" s="17"/>
    </row>
    <row r="105" spans="1:1" s="21" customFormat="1" x14ac:dyDescent="0.3">
      <c r="A105" s="17"/>
    </row>
    <row r="106" spans="1:1" s="21" customFormat="1" x14ac:dyDescent="0.3">
      <c r="A106" s="17"/>
    </row>
    <row r="107" spans="1:1" s="21" customFormat="1" x14ac:dyDescent="0.3">
      <c r="A107" s="17"/>
    </row>
    <row r="108" spans="1:1" s="21" customFormat="1" x14ac:dyDescent="0.3">
      <c r="A108" s="17"/>
    </row>
    <row r="109" spans="1:1" s="21" customFormat="1" x14ac:dyDescent="0.3">
      <c r="A109" s="17"/>
    </row>
    <row r="110" spans="1:1" s="21" customFormat="1" x14ac:dyDescent="0.3">
      <c r="A110" s="17"/>
    </row>
    <row r="111" spans="1:1" s="21" customFormat="1" x14ac:dyDescent="0.3">
      <c r="A111" s="17"/>
    </row>
    <row r="112" spans="1:1" s="21" customFormat="1" x14ac:dyDescent="0.3">
      <c r="A112" s="17"/>
    </row>
    <row r="113" spans="1:1" s="21" customFormat="1" x14ac:dyDescent="0.3">
      <c r="A113" s="17"/>
    </row>
    <row r="114" spans="1:1" s="21" customFormat="1" x14ac:dyDescent="0.3">
      <c r="A114" s="17"/>
    </row>
    <row r="115" spans="1:1" s="21" customFormat="1" x14ac:dyDescent="0.3">
      <c r="A115" s="17"/>
    </row>
    <row r="116" spans="1:1" s="21" customFormat="1" x14ac:dyDescent="0.3">
      <c r="A116" s="17"/>
    </row>
    <row r="117" spans="1:1" s="21" customFormat="1" x14ac:dyDescent="0.3">
      <c r="A117" s="17"/>
    </row>
    <row r="118" spans="1:1" s="21" customFormat="1" x14ac:dyDescent="0.3">
      <c r="A118" s="17"/>
    </row>
    <row r="119" spans="1:1" s="21" customFormat="1" x14ac:dyDescent="0.3">
      <c r="A119" s="17"/>
    </row>
    <row r="120" spans="1:1" s="21" customFormat="1" x14ac:dyDescent="0.3">
      <c r="A120" s="17"/>
    </row>
    <row r="121" spans="1:1" s="21" customFormat="1" x14ac:dyDescent="0.3">
      <c r="A121" s="17"/>
    </row>
    <row r="122" spans="1:1" s="21" customFormat="1" x14ac:dyDescent="0.3">
      <c r="A122" s="17"/>
    </row>
    <row r="123" spans="1:1" s="21" customFormat="1" x14ac:dyDescent="0.3">
      <c r="A123" s="17"/>
    </row>
    <row r="124" spans="1:1" s="21" customFormat="1" x14ac:dyDescent="0.3">
      <c r="A124" s="17"/>
    </row>
    <row r="125" spans="1:1" s="21" customFormat="1" x14ac:dyDescent="0.3">
      <c r="A125" s="17"/>
    </row>
    <row r="126" spans="1:1" s="21" customFormat="1" x14ac:dyDescent="0.3">
      <c r="A126" s="17"/>
    </row>
    <row r="127" spans="1:1" s="21" customFormat="1" x14ac:dyDescent="0.3">
      <c r="A127" s="17"/>
    </row>
    <row r="128" spans="1:1" s="21" customFormat="1" x14ac:dyDescent="0.3">
      <c r="A128" s="17"/>
    </row>
    <row r="129" spans="1:1" s="21" customFormat="1" x14ac:dyDescent="0.3">
      <c r="A129" s="17"/>
    </row>
    <row r="130" spans="1:1" s="21" customFormat="1" x14ac:dyDescent="0.3">
      <c r="A130" s="17"/>
    </row>
    <row r="131" spans="1:1" s="21" customFormat="1" x14ac:dyDescent="0.3">
      <c r="A131" s="17"/>
    </row>
    <row r="132" spans="1:1" s="21" customFormat="1" x14ac:dyDescent="0.3">
      <c r="A132" s="17"/>
    </row>
    <row r="133" spans="1:1" s="21" customFormat="1" x14ac:dyDescent="0.3">
      <c r="A133" s="17"/>
    </row>
    <row r="134" spans="1:1" s="21" customFormat="1" x14ac:dyDescent="0.3">
      <c r="A134" s="17"/>
    </row>
    <row r="135" spans="1:1" s="21" customFormat="1" x14ac:dyDescent="0.3">
      <c r="A135" s="17"/>
    </row>
    <row r="136" spans="1:1" s="21" customFormat="1" x14ac:dyDescent="0.3">
      <c r="A136" s="17"/>
    </row>
    <row r="137" spans="1:1" s="21" customFormat="1" x14ac:dyDescent="0.3">
      <c r="A137" s="17"/>
    </row>
    <row r="138" spans="1:1" s="21" customFormat="1" x14ac:dyDescent="0.3">
      <c r="A138" s="17"/>
    </row>
    <row r="139" spans="1:1" s="21" customFormat="1" x14ac:dyDescent="0.3">
      <c r="A139" s="17"/>
    </row>
    <row r="140" spans="1:1" s="21" customFormat="1" x14ac:dyDescent="0.3">
      <c r="A140" s="17"/>
    </row>
    <row r="141" spans="1:1" s="21" customFormat="1" x14ac:dyDescent="0.3">
      <c r="A141" s="17"/>
    </row>
    <row r="142" spans="1:1" s="21" customFormat="1" x14ac:dyDescent="0.3">
      <c r="A142" s="17"/>
    </row>
    <row r="143" spans="1:1" s="21" customFormat="1" x14ac:dyDescent="0.3">
      <c r="A143" s="17"/>
    </row>
    <row r="144" spans="1:1" s="21" customFormat="1" x14ac:dyDescent="0.3">
      <c r="A144" s="17"/>
    </row>
    <row r="145" spans="1:1" s="21" customFormat="1" x14ac:dyDescent="0.3">
      <c r="A145" s="17"/>
    </row>
    <row r="146" spans="1:1" s="21" customFormat="1" x14ac:dyDescent="0.3">
      <c r="A146" s="17"/>
    </row>
    <row r="147" spans="1:1" s="21" customFormat="1" x14ac:dyDescent="0.3">
      <c r="A147" s="17"/>
    </row>
    <row r="148" spans="1:1" s="21" customFormat="1" x14ac:dyDescent="0.3">
      <c r="A148" s="17"/>
    </row>
    <row r="149" spans="1:1" s="21" customFormat="1" x14ac:dyDescent="0.3">
      <c r="A149" s="17"/>
    </row>
    <row r="150" spans="1:1" s="21" customFormat="1" x14ac:dyDescent="0.3">
      <c r="A150" s="17"/>
    </row>
    <row r="151" spans="1:1" s="21" customFormat="1" x14ac:dyDescent="0.3">
      <c r="A151" s="17"/>
    </row>
    <row r="152" spans="1:1" s="21" customFormat="1" x14ac:dyDescent="0.3">
      <c r="A152" s="17"/>
    </row>
    <row r="153" spans="1:1" s="21" customFormat="1" x14ac:dyDescent="0.3">
      <c r="A153" s="17"/>
    </row>
    <row r="154" spans="1:1" s="21" customFormat="1" x14ac:dyDescent="0.3">
      <c r="A154" s="17"/>
    </row>
    <row r="155" spans="1:1" s="21" customFormat="1" x14ac:dyDescent="0.3">
      <c r="A155" s="17"/>
    </row>
    <row r="156" spans="1:1" s="21" customFormat="1" x14ac:dyDescent="0.3">
      <c r="A156" s="17"/>
    </row>
    <row r="157" spans="1:1" s="21" customFormat="1" x14ac:dyDescent="0.3">
      <c r="A157" s="17"/>
    </row>
    <row r="158" spans="1:1" s="21" customFormat="1" x14ac:dyDescent="0.3">
      <c r="A158" s="17"/>
    </row>
    <row r="159" spans="1:1" s="21" customFormat="1" x14ac:dyDescent="0.3">
      <c r="A159" s="17"/>
    </row>
    <row r="160" spans="1:1" s="21" customFormat="1" x14ac:dyDescent="0.3">
      <c r="A160" s="17"/>
    </row>
    <row r="161" spans="1:1" s="21" customFormat="1" x14ac:dyDescent="0.3">
      <c r="A161" s="17"/>
    </row>
    <row r="162" spans="1:1" s="21" customFormat="1" x14ac:dyDescent="0.3">
      <c r="A162" s="17"/>
    </row>
    <row r="163" spans="1:1" s="21" customFormat="1" x14ac:dyDescent="0.3">
      <c r="A163" s="17"/>
    </row>
    <row r="164" spans="1:1" s="21" customFormat="1" x14ac:dyDescent="0.3">
      <c r="A164" s="17"/>
    </row>
    <row r="165" spans="1:1" s="21" customFormat="1" x14ac:dyDescent="0.3">
      <c r="A165" s="17"/>
    </row>
    <row r="166" spans="1:1" s="21" customFormat="1" x14ac:dyDescent="0.3">
      <c r="A166" s="17"/>
    </row>
    <row r="167" spans="1:1" s="21" customFormat="1" x14ac:dyDescent="0.3">
      <c r="A167" s="17"/>
    </row>
    <row r="168" spans="1:1" s="21" customFormat="1" x14ac:dyDescent="0.3">
      <c r="A168" s="17"/>
    </row>
    <row r="169" spans="1:1" s="21" customFormat="1" x14ac:dyDescent="0.3">
      <c r="A169" s="17"/>
    </row>
    <row r="170" spans="1:1" s="21" customFormat="1" x14ac:dyDescent="0.3">
      <c r="A170" s="17"/>
    </row>
    <row r="171" spans="1:1" s="21" customFormat="1" x14ac:dyDescent="0.3">
      <c r="A171" s="17"/>
    </row>
    <row r="172" spans="1:1" s="21" customFormat="1" x14ac:dyDescent="0.3">
      <c r="A172" s="17"/>
    </row>
    <row r="173" spans="1:1" s="21" customFormat="1" x14ac:dyDescent="0.3">
      <c r="A173" s="17"/>
    </row>
    <row r="174" spans="1:1" s="21" customFormat="1" x14ac:dyDescent="0.3">
      <c r="A174" s="17"/>
    </row>
    <row r="175" spans="1:1" s="21" customFormat="1" x14ac:dyDescent="0.3">
      <c r="A175" s="17"/>
    </row>
    <row r="176" spans="1:1" s="21" customFormat="1" x14ac:dyDescent="0.3">
      <c r="A176" s="17"/>
    </row>
    <row r="177" spans="1:1" s="21" customFormat="1" x14ac:dyDescent="0.3">
      <c r="A177" s="17"/>
    </row>
    <row r="178" spans="1:1" s="21" customFormat="1" x14ac:dyDescent="0.3">
      <c r="A178" s="17"/>
    </row>
    <row r="179" spans="1:1" s="21" customFormat="1" x14ac:dyDescent="0.3">
      <c r="A179" s="17"/>
    </row>
    <row r="180" spans="1:1" s="21" customFormat="1" x14ac:dyDescent="0.3">
      <c r="A180" s="17"/>
    </row>
    <row r="181" spans="1:1" s="21" customFormat="1" x14ac:dyDescent="0.3">
      <c r="A181" s="17"/>
    </row>
    <row r="182" spans="1:1" s="21" customFormat="1" x14ac:dyDescent="0.3">
      <c r="A182" s="17"/>
    </row>
    <row r="183" spans="1:1" s="21" customFormat="1" x14ac:dyDescent="0.3">
      <c r="A183" s="17"/>
    </row>
    <row r="184" spans="1:1" s="21" customFormat="1" x14ac:dyDescent="0.3">
      <c r="A184" s="17"/>
    </row>
    <row r="185" spans="1:1" s="21" customFormat="1" x14ac:dyDescent="0.3">
      <c r="A185" s="17"/>
    </row>
    <row r="186" spans="1:1" s="21" customFormat="1" x14ac:dyDescent="0.3">
      <c r="A186" s="17"/>
    </row>
    <row r="187" spans="1:1" s="21" customFormat="1" x14ac:dyDescent="0.3">
      <c r="A187" s="17"/>
    </row>
    <row r="188" spans="1:1" s="21" customFormat="1" x14ac:dyDescent="0.3">
      <c r="A188" s="17"/>
    </row>
    <row r="189" spans="1:1" s="21" customFormat="1" x14ac:dyDescent="0.3">
      <c r="A189" s="17"/>
    </row>
    <row r="190" spans="1:1" s="21" customFormat="1" x14ac:dyDescent="0.3">
      <c r="A190" s="17"/>
    </row>
    <row r="191" spans="1:1" s="21" customFormat="1" x14ac:dyDescent="0.3">
      <c r="A191" s="17"/>
    </row>
    <row r="192" spans="1:1" s="21" customFormat="1" x14ac:dyDescent="0.3">
      <c r="A192" s="17"/>
    </row>
    <row r="193" spans="1:1" s="21" customFormat="1" x14ac:dyDescent="0.3">
      <c r="A193" s="17"/>
    </row>
    <row r="194" spans="1:1" s="21" customFormat="1" x14ac:dyDescent="0.3">
      <c r="A194" s="17"/>
    </row>
    <row r="195" spans="1:1" s="21" customFormat="1" x14ac:dyDescent="0.3">
      <c r="A195" s="17"/>
    </row>
    <row r="196" spans="1:1" s="21" customFormat="1" x14ac:dyDescent="0.3">
      <c r="A196" s="17"/>
    </row>
    <row r="197" spans="1:1" s="21" customFormat="1" x14ac:dyDescent="0.3">
      <c r="A197" s="17"/>
    </row>
    <row r="198" spans="1:1" s="21" customFormat="1" x14ac:dyDescent="0.3">
      <c r="A198" s="17"/>
    </row>
    <row r="199" spans="1:1" s="21" customFormat="1" x14ac:dyDescent="0.3">
      <c r="A199" s="17"/>
    </row>
    <row r="200" spans="1:1" s="21" customFormat="1" x14ac:dyDescent="0.3">
      <c r="A200" s="17"/>
    </row>
    <row r="201" spans="1:1" s="21" customFormat="1" x14ac:dyDescent="0.3">
      <c r="A201" s="17"/>
    </row>
    <row r="202" spans="1:1" s="21" customFormat="1" x14ac:dyDescent="0.3">
      <c r="A202" s="17"/>
    </row>
    <row r="203" spans="1:1" s="21" customFormat="1" x14ac:dyDescent="0.3">
      <c r="A203" s="17"/>
    </row>
    <row r="204" spans="1:1" s="21" customFormat="1" x14ac:dyDescent="0.3">
      <c r="A204" s="17"/>
    </row>
    <row r="205" spans="1:1" s="21" customFormat="1" x14ac:dyDescent="0.3">
      <c r="A205" s="17"/>
    </row>
    <row r="206" spans="1:1" s="21" customFormat="1" x14ac:dyDescent="0.3">
      <c r="A206" s="17"/>
    </row>
    <row r="207" spans="1:1" s="21" customFormat="1" x14ac:dyDescent="0.3">
      <c r="A207" s="17"/>
    </row>
    <row r="208" spans="1:1" s="21" customFormat="1" x14ac:dyDescent="0.3">
      <c r="A208" s="17"/>
    </row>
    <row r="209" spans="1:1" s="21" customFormat="1" x14ac:dyDescent="0.3">
      <c r="A209" s="17"/>
    </row>
    <row r="210" spans="1:1" s="21" customFormat="1" x14ac:dyDescent="0.3">
      <c r="A210" s="17"/>
    </row>
    <row r="211" spans="1:1" s="21" customFormat="1" x14ac:dyDescent="0.3">
      <c r="A211" s="17"/>
    </row>
    <row r="212" spans="1:1" s="21" customFormat="1" x14ac:dyDescent="0.3">
      <c r="A212" s="17"/>
    </row>
    <row r="213" spans="1:1" s="21" customFormat="1" x14ac:dyDescent="0.3">
      <c r="A213" s="17"/>
    </row>
    <row r="214" spans="1:1" s="21" customFormat="1" x14ac:dyDescent="0.3">
      <c r="A214" s="17"/>
    </row>
    <row r="215" spans="1:1" s="21" customFormat="1" x14ac:dyDescent="0.3">
      <c r="A215" s="17"/>
    </row>
    <row r="216" spans="1:1" s="21" customFormat="1" x14ac:dyDescent="0.3">
      <c r="A216" s="17"/>
    </row>
    <row r="217" spans="1:1" s="21" customFormat="1" x14ac:dyDescent="0.3">
      <c r="A217" s="17"/>
    </row>
    <row r="218" spans="1:1" s="21" customFormat="1" x14ac:dyDescent="0.3">
      <c r="A218" s="17"/>
    </row>
    <row r="219" spans="1:1" s="21" customFormat="1" x14ac:dyDescent="0.3">
      <c r="A219" s="17"/>
    </row>
    <row r="220" spans="1:1" s="21" customFormat="1" x14ac:dyDescent="0.3">
      <c r="A220" s="17"/>
    </row>
    <row r="221" spans="1:1" s="21" customFormat="1" x14ac:dyDescent="0.3">
      <c r="A221" s="17"/>
    </row>
    <row r="222" spans="1:1" s="21" customFormat="1" x14ac:dyDescent="0.3">
      <c r="A222" s="17"/>
    </row>
    <row r="223" spans="1:1" s="21" customFormat="1" x14ac:dyDescent="0.3">
      <c r="A223" s="17"/>
    </row>
    <row r="224" spans="1:1" s="21" customFormat="1" x14ac:dyDescent="0.3">
      <c r="A224" s="17"/>
    </row>
    <row r="225" spans="1:1" s="21" customFormat="1" x14ac:dyDescent="0.3">
      <c r="A225" s="17"/>
    </row>
    <row r="226" spans="1:1" s="21" customFormat="1" x14ac:dyDescent="0.3">
      <c r="A226" s="17"/>
    </row>
    <row r="227" spans="1:1" s="21" customFormat="1" x14ac:dyDescent="0.3">
      <c r="A227" s="17"/>
    </row>
    <row r="228" spans="1:1" s="21" customFormat="1" x14ac:dyDescent="0.3">
      <c r="A228" s="17"/>
    </row>
    <row r="229" spans="1:1" s="21" customFormat="1" x14ac:dyDescent="0.3">
      <c r="A229" s="17"/>
    </row>
    <row r="230" spans="1:1" s="21" customFormat="1" x14ac:dyDescent="0.3">
      <c r="A230" s="17"/>
    </row>
    <row r="231" spans="1:1" s="21" customFormat="1" x14ac:dyDescent="0.3">
      <c r="A231" s="17"/>
    </row>
    <row r="232" spans="1:1" s="21" customFormat="1" x14ac:dyDescent="0.3">
      <c r="A232" s="17"/>
    </row>
    <row r="233" spans="1:1" s="21" customFormat="1" x14ac:dyDescent="0.3">
      <c r="A233" s="17"/>
    </row>
    <row r="234" spans="1:1" s="21" customFormat="1" x14ac:dyDescent="0.3">
      <c r="A234" s="17"/>
    </row>
    <row r="235" spans="1:1" s="21" customFormat="1" x14ac:dyDescent="0.3">
      <c r="A235" s="17"/>
    </row>
    <row r="236" spans="1:1" s="21" customFormat="1" x14ac:dyDescent="0.3">
      <c r="A236" s="17"/>
    </row>
    <row r="237" spans="1:1" s="21" customFormat="1" x14ac:dyDescent="0.3">
      <c r="A237" s="17"/>
    </row>
    <row r="238" spans="1:1" s="21" customFormat="1" x14ac:dyDescent="0.3">
      <c r="A238" s="17"/>
    </row>
    <row r="239" spans="1:1" s="21" customFormat="1" x14ac:dyDescent="0.3">
      <c r="A239" s="17"/>
    </row>
    <row r="240" spans="1:1" s="21" customFormat="1" x14ac:dyDescent="0.3">
      <c r="A240" s="17"/>
    </row>
    <row r="241" spans="1:1" s="21" customFormat="1" x14ac:dyDescent="0.3">
      <c r="A241" s="17"/>
    </row>
    <row r="242" spans="1:1" s="21" customFormat="1" x14ac:dyDescent="0.3">
      <c r="A242" s="17"/>
    </row>
    <row r="243" spans="1:1" s="21" customFormat="1" x14ac:dyDescent="0.3">
      <c r="A243" s="17"/>
    </row>
    <row r="244" spans="1:1" s="21" customFormat="1" x14ac:dyDescent="0.3">
      <c r="A244" s="17"/>
    </row>
    <row r="245" spans="1:1" s="21" customFormat="1" x14ac:dyDescent="0.3">
      <c r="A245" s="17"/>
    </row>
    <row r="246" spans="1:1" s="21" customFormat="1" x14ac:dyDescent="0.3">
      <c r="A246" s="17"/>
    </row>
    <row r="247" spans="1:1" s="21" customFormat="1" x14ac:dyDescent="0.3">
      <c r="A247" s="17"/>
    </row>
    <row r="248" spans="1:1" s="21" customFormat="1" x14ac:dyDescent="0.3">
      <c r="A248" s="17"/>
    </row>
    <row r="249" spans="1:1" s="21" customFormat="1" x14ac:dyDescent="0.3">
      <c r="A249" s="17"/>
    </row>
    <row r="250" spans="1:1" s="21" customFormat="1" x14ac:dyDescent="0.3">
      <c r="A250" s="17"/>
    </row>
    <row r="251" spans="1:1" s="21" customFormat="1" x14ac:dyDescent="0.3">
      <c r="A251" s="17"/>
    </row>
    <row r="252" spans="1:1" s="21" customFormat="1" x14ac:dyDescent="0.3">
      <c r="A252" s="17"/>
    </row>
    <row r="253" spans="1:1" s="21" customFormat="1" x14ac:dyDescent="0.3">
      <c r="A253" s="17"/>
    </row>
    <row r="254" spans="1:1" s="21" customFormat="1" x14ac:dyDescent="0.3">
      <c r="A254" s="17"/>
    </row>
    <row r="255" spans="1:1" s="21" customFormat="1" x14ac:dyDescent="0.3">
      <c r="A255" s="17"/>
    </row>
    <row r="256" spans="1:1" s="21" customFormat="1" x14ac:dyDescent="0.3">
      <c r="A256" s="17"/>
    </row>
    <row r="257" spans="1:1" s="21" customFormat="1" x14ac:dyDescent="0.3">
      <c r="A257" s="17"/>
    </row>
    <row r="258" spans="1:1" s="21" customFormat="1" x14ac:dyDescent="0.3">
      <c r="A258" s="17"/>
    </row>
    <row r="259" spans="1:1" s="21" customFormat="1" x14ac:dyDescent="0.3">
      <c r="A259" s="17"/>
    </row>
    <row r="260" spans="1:1" s="21" customFormat="1" x14ac:dyDescent="0.3">
      <c r="A260" s="17"/>
    </row>
    <row r="261" spans="1:1" s="21" customFormat="1" x14ac:dyDescent="0.3">
      <c r="A261" s="17"/>
    </row>
    <row r="262" spans="1:1" s="21" customFormat="1" x14ac:dyDescent="0.3">
      <c r="A262" s="17"/>
    </row>
    <row r="263" spans="1:1" s="21" customFormat="1" x14ac:dyDescent="0.3">
      <c r="A263" s="17"/>
    </row>
    <row r="264" spans="1:1" s="21" customFormat="1" x14ac:dyDescent="0.3">
      <c r="A264" s="17"/>
    </row>
    <row r="265" spans="1:1" s="21" customFormat="1" x14ac:dyDescent="0.3">
      <c r="A265" s="17"/>
    </row>
    <row r="266" spans="1:1" s="21" customFormat="1" x14ac:dyDescent="0.3">
      <c r="A266" s="17"/>
    </row>
    <row r="267" spans="1:1" s="21" customFormat="1" x14ac:dyDescent="0.3">
      <c r="A267" s="17"/>
    </row>
    <row r="268" spans="1:1" s="21" customFormat="1" x14ac:dyDescent="0.3">
      <c r="A268" s="17"/>
    </row>
    <row r="269" spans="1:1" s="21" customFormat="1" x14ac:dyDescent="0.3">
      <c r="A269" s="17"/>
    </row>
    <row r="270" spans="1:1" s="21" customFormat="1" x14ac:dyDescent="0.3">
      <c r="A270" s="17"/>
    </row>
    <row r="271" spans="1:1" s="21" customFormat="1" x14ac:dyDescent="0.3">
      <c r="A271" s="17"/>
    </row>
    <row r="272" spans="1:1" s="21" customFormat="1" x14ac:dyDescent="0.3">
      <c r="A272" s="17"/>
    </row>
    <row r="273" spans="1:1" s="21" customFormat="1" x14ac:dyDescent="0.3">
      <c r="A273" s="17"/>
    </row>
    <row r="274" spans="1:1" s="21" customFormat="1" x14ac:dyDescent="0.3">
      <c r="A274" s="17"/>
    </row>
    <row r="275" spans="1:1" s="21" customFormat="1" x14ac:dyDescent="0.3">
      <c r="A275" s="17"/>
    </row>
    <row r="276" spans="1:1" s="21" customFormat="1" x14ac:dyDescent="0.3">
      <c r="A276" s="17"/>
    </row>
    <row r="277" spans="1:1" s="21" customFormat="1" x14ac:dyDescent="0.3">
      <c r="A277" s="17"/>
    </row>
    <row r="278" spans="1:1" s="21" customFormat="1" x14ac:dyDescent="0.3">
      <c r="A278" s="17"/>
    </row>
    <row r="279" spans="1:1" s="21" customFormat="1" x14ac:dyDescent="0.3">
      <c r="A279" s="17"/>
    </row>
    <row r="280" spans="1:1" s="21" customFormat="1" x14ac:dyDescent="0.3">
      <c r="A280" s="17"/>
    </row>
    <row r="281" spans="1:1" s="21" customFormat="1" x14ac:dyDescent="0.3">
      <c r="A281" s="17"/>
    </row>
    <row r="282" spans="1:1" s="21" customFormat="1" x14ac:dyDescent="0.3">
      <c r="A282" s="17"/>
    </row>
    <row r="283" spans="1:1" s="21" customFormat="1" x14ac:dyDescent="0.3">
      <c r="A283" s="17"/>
    </row>
    <row r="284" spans="1:1" s="21" customFormat="1" x14ac:dyDescent="0.3">
      <c r="A284" s="17"/>
    </row>
    <row r="285" spans="1:1" s="21" customFormat="1" x14ac:dyDescent="0.3">
      <c r="A285" s="17"/>
    </row>
    <row r="286" spans="1:1" s="21" customFormat="1" x14ac:dyDescent="0.3">
      <c r="A286" s="17"/>
    </row>
    <row r="287" spans="1:1" s="21" customFormat="1" x14ac:dyDescent="0.3">
      <c r="A287" s="17"/>
    </row>
    <row r="288" spans="1:1" s="21" customFormat="1" x14ac:dyDescent="0.3">
      <c r="A288" s="17"/>
    </row>
    <row r="289" spans="1:1" s="21" customFormat="1" x14ac:dyDescent="0.3">
      <c r="A289" s="17"/>
    </row>
    <row r="290" spans="1:1" s="21" customFormat="1" x14ac:dyDescent="0.3">
      <c r="A290" s="17"/>
    </row>
    <row r="291" spans="1:1" s="21" customFormat="1" x14ac:dyDescent="0.3">
      <c r="A291" s="17"/>
    </row>
    <row r="292" spans="1:1" s="21" customFormat="1" x14ac:dyDescent="0.3">
      <c r="A292" s="17"/>
    </row>
    <row r="293" spans="1:1" s="21" customFormat="1" x14ac:dyDescent="0.3">
      <c r="A293" s="17"/>
    </row>
    <row r="294" spans="1:1" s="21" customFormat="1" x14ac:dyDescent="0.3">
      <c r="A294" s="17"/>
    </row>
    <row r="295" spans="1:1" s="21" customFormat="1" x14ac:dyDescent="0.3">
      <c r="A295" s="17"/>
    </row>
    <row r="296" spans="1:1" s="21" customFormat="1" x14ac:dyDescent="0.3">
      <c r="A296" s="17"/>
    </row>
    <row r="297" spans="1:1" s="21" customFormat="1" x14ac:dyDescent="0.3">
      <c r="A297" s="17"/>
    </row>
    <row r="298" spans="1:1" s="21" customFormat="1" x14ac:dyDescent="0.3">
      <c r="A298" s="17"/>
    </row>
    <row r="299" spans="1:1" s="21" customFormat="1" x14ac:dyDescent="0.3">
      <c r="A299" s="17"/>
    </row>
    <row r="300" spans="1:1" s="21" customFormat="1" x14ac:dyDescent="0.3">
      <c r="A300" s="17"/>
    </row>
    <row r="301" spans="1:1" s="21" customFormat="1" x14ac:dyDescent="0.3">
      <c r="A301" s="17"/>
    </row>
    <row r="302" spans="1:1" s="21" customFormat="1" x14ac:dyDescent="0.3">
      <c r="A302" s="17"/>
    </row>
    <row r="303" spans="1:1" s="21" customFormat="1" x14ac:dyDescent="0.3">
      <c r="A303" s="17"/>
    </row>
    <row r="304" spans="1:1" s="21" customFormat="1" x14ac:dyDescent="0.3">
      <c r="A304" s="17"/>
    </row>
    <row r="305" spans="1:1" s="21" customFormat="1" x14ac:dyDescent="0.3">
      <c r="A305" s="17"/>
    </row>
    <row r="306" spans="1:1" s="21" customFormat="1" x14ac:dyDescent="0.3">
      <c r="A306" s="17"/>
    </row>
    <row r="307" spans="1:1" s="21" customFormat="1" x14ac:dyDescent="0.3">
      <c r="A307" s="17"/>
    </row>
    <row r="308" spans="1:1" s="21" customFormat="1" x14ac:dyDescent="0.3">
      <c r="A308" s="17"/>
    </row>
    <row r="309" spans="1:1" s="21" customFormat="1" x14ac:dyDescent="0.3">
      <c r="A309" s="17"/>
    </row>
    <row r="310" spans="1:1" s="21" customFormat="1" x14ac:dyDescent="0.3">
      <c r="A310" s="17"/>
    </row>
    <row r="311" spans="1:1" s="21" customFormat="1" x14ac:dyDescent="0.3">
      <c r="A311" s="17"/>
    </row>
    <row r="312" spans="1:1" s="21" customFormat="1" x14ac:dyDescent="0.3">
      <c r="A312" s="17"/>
    </row>
    <row r="313" spans="1:1" s="21" customFormat="1" x14ac:dyDescent="0.3">
      <c r="A313" s="17"/>
    </row>
    <row r="314" spans="1:1" s="21" customFormat="1" x14ac:dyDescent="0.3">
      <c r="A314" s="17"/>
    </row>
    <row r="315" spans="1:1" s="21" customFormat="1" x14ac:dyDescent="0.3">
      <c r="A315" s="17"/>
    </row>
    <row r="316" spans="1:1" s="21" customFormat="1" x14ac:dyDescent="0.3">
      <c r="A316" s="17"/>
    </row>
    <row r="317" spans="1:1" s="21" customFormat="1" x14ac:dyDescent="0.3">
      <c r="A317" s="17"/>
    </row>
    <row r="318" spans="1:1" s="21" customFormat="1" x14ac:dyDescent="0.3">
      <c r="A318" s="17"/>
    </row>
    <row r="319" spans="1:1" s="21" customFormat="1" x14ac:dyDescent="0.3">
      <c r="A319" s="17"/>
    </row>
    <row r="320" spans="1:1" s="21" customFormat="1" x14ac:dyDescent="0.3">
      <c r="A320" s="17"/>
    </row>
    <row r="321" spans="1:1" s="21" customFormat="1" x14ac:dyDescent="0.3">
      <c r="A321" s="17"/>
    </row>
    <row r="322" spans="1:1" s="21" customFormat="1" x14ac:dyDescent="0.3">
      <c r="A322" s="17"/>
    </row>
    <row r="323" spans="1:1" s="21" customFormat="1" x14ac:dyDescent="0.3">
      <c r="A323" s="17"/>
    </row>
    <row r="324" spans="1:1" s="21" customFormat="1" x14ac:dyDescent="0.3">
      <c r="A324" s="17"/>
    </row>
    <row r="325" spans="1:1" s="21" customFormat="1" x14ac:dyDescent="0.3">
      <c r="A325" s="17"/>
    </row>
    <row r="326" spans="1:1" s="21" customFormat="1" x14ac:dyDescent="0.3">
      <c r="A326" s="17"/>
    </row>
    <row r="327" spans="1:1" s="21" customFormat="1" x14ac:dyDescent="0.3">
      <c r="A327" s="17"/>
    </row>
    <row r="328" spans="1:1" s="21" customFormat="1" x14ac:dyDescent="0.3">
      <c r="A328" s="17"/>
    </row>
    <row r="329" spans="1:1" s="21" customFormat="1" x14ac:dyDescent="0.3">
      <c r="A329" s="17"/>
    </row>
    <row r="330" spans="1:1" s="21" customFormat="1" x14ac:dyDescent="0.3">
      <c r="A330" s="17"/>
    </row>
    <row r="331" spans="1:1" s="21" customFormat="1" x14ac:dyDescent="0.3">
      <c r="A331" s="17"/>
    </row>
    <row r="332" spans="1:1" s="21" customFormat="1" x14ac:dyDescent="0.3">
      <c r="A332" s="17"/>
    </row>
    <row r="333" spans="1:1" s="21" customFormat="1" x14ac:dyDescent="0.3">
      <c r="A333" s="17"/>
    </row>
    <row r="334" spans="1:1" s="21" customFormat="1" x14ac:dyDescent="0.3">
      <c r="A334" s="17"/>
    </row>
    <row r="335" spans="1:1" s="21" customFormat="1" x14ac:dyDescent="0.3">
      <c r="A335" s="17"/>
    </row>
    <row r="336" spans="1:1" s="21" customFormat="1" x14ac:dyDescent="0.3">
      <c r="A336" s="17"/>
    </row>
    <row r="337" spans="1:1" s="21" customFormat="1" x14ac:dyDescent="0.3">
      <c r="A337" s="17"/>
    </row>
    <row r="338" spans="1:1" s="21" customFormat="1" x14ac:dyDescent="0.3">
      <c r="A338" s="17"/>
    </row>
    <row r="339" spans="1:1" s="21" customFormat="1" x14ac:dyDescent="0.3">
      <c r="A339" s="17"/>
    </row>
    <row r="340" spans="1:1" s="21" customFormat="1" x14ac:dyDescent="0.3">
      <c r="A340" s="17"/>
    </row>
    <row r="341" spans="1:1" s="21" customFormat="1" x14ac:dyDescent="0.3">
      <c r="A341" s="17"/>
    </row>
    <row r="342" spans="1:1" s="21" customFormat="1" x14ac:dyDescent="0.3">
      <c r="A342" s="17"/>
    </row>
    <row r="343" spans="1:1" s="21" customFormat="1" x14ac:dyDescent="0.3">
      <c r="A343" s="17"/>
    </row>
    <row r="344" spans="1:1" s="21" customFormat="1" x14ac:dyDescent="0.3">
      <c r="A344" s="17"/>
    </row>
    <row r="345" spans="1:1" s="21" customFormat="1" x14ac:dyDescent="0.3">
      <c r="A345" s="17"/>
    </row>
    <row r="346" spans="1:1" s="21" customFormat="1" x14ac:dyDescent="0.3">
      <c r="A346" s="17"/>
    </row>
    <row r="347" spans="1:1" s="21" customFormat="1" x14ac:dyDescent="0.3">
      <c r="A347" s="17"/>
    </row>
    <row r="348" spans="1:1" s="21" customFormat="1" x14ac:dyDescent="0.3">
      <c r="A348" s="17"/>
    </row>
    <row r="349" spans="1:1" s="21" customFormat="1" x14ac:dyDescent="0.3">
      <c r="A349" s="17"/>
    </row>
    <row r="350" spans="1:1" s="21" customFormat="1" x14ac:dyDescent="0.3">
      <c r="A350" s="17"/>
    </row>
    <row r="351" spans="1:1" s="21" customFormat="1" x14ac:dyDescent="0.3">
      <c r="A351" s="17"/>
    </row>
    <row r="352" spans="1:1" s="21" customFormat="1" x14ac:dyDescent="0.3">
      <c r="A352" s="17"/>
    </row>
    <row r="353" spans="1:1" s="21" customFormat="1" x14ac:dyDescent="0.3">
      <c r="A353" s="17"/>
    </row>
    <row r="354" spans="1:1" s="21" customFormat="1" x14ac:dyDescent="0.3">
      <c r="A354" s="17"/>
    </row>
    <row r="355" spans="1:1" s="21" customFormat="1" x14ac:dyDescent="0.3">
      <c r="A355" s="17"/>
    </row>
    <row r="356" spans="1:1" s="21" customFormat="1" x14ac:dyDescent="0.3">
      <c r="A356" s="17"/>
    </row>
    <row r="357" spans="1:1" s="21" customFormat="1" x14ac:dyDescent="0.3">
      <c r="A357" s="17"/>
    </row>
    <row r="358" spans="1:1" s="21" customFormat="1" x14ac:dyDescent="0.3">
      <c r="A358" s="17"/>
    </row>
    <row r="359" spans="1:1" s="21" customFormat="1" x14ac:dyDescent="0.3">
      <c r="A359" s="17"/>
    </row>
    <row r="360" spans="1:1" s="21" customFormat="1" x14ac:dyDescent="0.3">
      <c r="A360" s="17"/>
    </row>
    <row r="361" spans="1:1" s="21" customFormat="1" x14ac:dyDescent="0.3">
      <c r="A361" s="17"/>
    </row>
    <row r="362" spans="1:1" s="21" customFormat="1" x14ac:dyDescent="0.3">
      <c r="A362" s="17"/>
    </row>
    <row r="363" spans="1:1" s="21" customFormat="1" x14ac:dyDescent="0.3">
      <c r="A363" s="17"/>
    </row>
    <row r="364" spans="1:1" s="21" customFormat="1" x14ac:dyDescent="0.3">
      <c r="A364" s="17"/>
    </row>
    <row r="365" spans="1:1" s="21" customFormat="1" x14ac:dyDescent="0.3">
      <c r="A365" s="17"/>
    </row>
    <row r="366" spans="1:1" s="21" customFormat="1" x14ac:dyDescent="0.3">
      <c r="A366" s="17"/>
    </row>
    <row r="367" spans="1:1" s="21" customFormat="1" x14ac:dyDescent="0.3">
      <c r="A367" s="17"/>
    </row>
    <row r="368" spans="1:1" s="21" customFormat="1" x14ac:dyDescent="0.3">
      <c r="A368" s="17"/>
    </row>
    <row r="369" spans="1:1" s="21" customFormat="1" x14ac:dyDescent="0.3">
      <c r="A369" s="17"/>
    </row>
    <row r="370" spans="1:1" s="21" customFormat="1" x14ac:dyDescent="0.3">
      <c r="A370" s="17"/>
    </row>
    <row r="371" spans="1:1" s="21" customFormat="1" x14ac:dyDescent="0.3">
      <c r="A371" s="17"/>
    </row>
    <row r="372" spans="1:1" s="21" customFormat="1" x14ac:dyDescent="0.3">
      <c r="A372" s="17"/>
    </row>
    <row r="373" spans="1:1" s="21" customFormat="1" x14ac:dyDescent="0.3">
      <c r="A373" s="17"/>
    </row>
    <row r="374" spans="1:1" s="21" customFormat="1" x14ac:dyDescent="0.3">
      <c r="A374" s="17"/>
    </row>
    <row r="375" spans="1:1" s="21" customFormat="1" x14ac:dyDescent="0.3">
      <c r="A375" s="17"/>
    </row>
    <row r="376" spans="1:1" s="21" customFormat="1" x14ac:dyDescent="0.3">
      <c r="A376" s="17"/>
    </row>
    <row r="377" spans="1:1" s="21" customFormat="1" x14ac:dyDescent="0.3">
      <c r="A377" s="17"/>
    </row>
    <row r="378" spans="1:1" s="21" customFormat="1" x14ac:dyDescent="0.3">
      <c r="A378" s="17"/>
    </row>
    <row r="379" spans="1:1" s="21" customFormat="1" x14ac:dyDescent="0.3">
      <c r="A379" s="17"/>
    </row>
    <row r="380" spans="1:1" s="21" customFormat="1" x14ac:dyDescent="0.3">
      <c r="A380" s="17"/>
    </row>
    <row r="381" spans="1:1" s="21" customFormat="1" x14ac:dyDescent="0.3">
      <c r="A381" s="17"/>
    </row>
    <row r="382" spans="1:1" s="21" customFormat="1" x14ac:dyDescent="0.3">
      <c r="A382" s="17"/>
    </row>
    <row r="383" spans="1:1" s="21" customFormat="1" x14ac:dyDescent="0.3">
      <c r="A383" s="17"/>
    </row>
    <row r="384" spans="1:1" s="21" customFormat="1" x14ac:dyDescent="0.3">
      <c r="A384" s="17"/>
    </row>
    <row r="385" spans="1:1" s="21" customFormat="1" x14ac:dyDescent="0.3">
      <c r="A385" s="17"/>
    </row>
    <row r="386" spans="1:1" s="21" customFormat="1" x14ac:dyDescent="0.3">
      <c r="A386" s="17"/>
    </row>
    <row r="387" spans="1:1" s="21" customFormat="1" x14ac:dyDescent="0.3">
      <c r="A387" s="17"/>
    </row>
    <row r="388" spans="1:1" s="21" customFormat="1" x14ac:dyDescent="0.3">
      <c r="A388" s="17"/>
    </row>
    <row r="389" spans="1:1" s="21" customFormat="1" x14ac:dyDescent="0.3">
      <c r="A389" s="17"/>
    </row>
    <row r="390" spans="1:1" s="21" customFormat="1" x14ac:dyDescent="0.3">
      <c r="A390" s="17"/>
    </row>
    <row r="391" spans="1:1" s="21" customFormat="1" x14ac:dyDescent="0.3">
      <c r="A391" s="17"/>
    </row>
    <row r="392" spans="1:1" s="21" customFormat="1" x14ac:dyDescent="0.3">
      <c r="A392" s="17"/>
    </row>
    <row r="393" spans="1:1" s="21" customFormat="1" x14ac:dyDescent="0.3">
      <c r="A393" s="17"/>
    </row>
    <row r="394" spans="1:1" s="21" customFormat="1" x14ac:dyDescent="0.3">
      <c r="A394" s="17"/>
    </row>
    <row r="395" spans="1:1" s="21" customFormat="1" x14ac:dyDescent="0.3">
      <c r="A395" s="17"/>
    </row>
    <row r="396" spans="1:1" s="21" customFormat="1" x14ac:dyDescent="0.3">
      <c r="A396" s="17"/>
    </row>
    <row r="397" spans="1:1" s="21" customFormat="1" x14ac:dyDescent="0.3">
      <c r="A397" s="17"/>
    </row>
    <row r="398" spans="1:1" s="21" customFormat="1" x14ac:dyDescent="0.3">
      <c r="A398" s="17"/>
    </row>
    <row r="399" spans="1:1" s="21" customFormat="1" x14ac:dyDescent="0.3">
      <c r="A399" s="17"/>
    </row>
    <row r="400" spans="1:1" s="21" customFormat="1" x14ac:dyDescent="0.3">
      <c r="A400" s="17"/>
    </row>
    <row r="401" spans="1:1" s="21" customFormat="1" x14ac:dyDescent="0.3">
      <c r="A401" s="17"/>
    </row>
    <row r="402" spans="1:1" s="21" customFormat="1" x14ac:dyDescent="0.3">
      <c r="A402" s="17"/>
    </row>
    <row r="403" spans="1:1" s="21" customFormat="1" x14ac:dyDescent="0.3">
      <c r="A403" s="17"/>
    </row>
    <row r="404" spans="1:1" s="21" customFormat="1" x14ac:dyDescent="0.3">
      <c r="A404" s="17"/>
    </row>
    <row r="405" spans="1:1" s="21" customFormat="1" x14ac:dyDescent="0.3">
      <c r="A405" s="17"/>
    </row>
    <row r="406" spans="1:1" s="21" customFormat="1" x14ac:dyDescent="0.3">
      <c r="A406" s="17"/>
    </row>
    <row r="407" spans="1:1" s="21" customFormat="1" x14ac:dyDescent="0.3">
      <c r="A407" s="17"/>
    </row>
    <row r="408" spans="1:1" s="21" customFormat="1" x14ac:dyDescent="0.3">
      <c r="A408" s="17"/>
    </row>
    <row r="409" spans="1:1" s="21" customFormat="1" x14ac:dyDescent="0.3">
      <c r="A409" s="17"/>
    </row>
    <row r="410" spans="1:1" s="21" customFormat="1" x14ac:dyDescent="0.3">
      <c r="A410" s="17"/>
    </row>
    <row r="411" spans="1:1" s="21" customFormat="1" x14ac:dyDescent="0.3">
      <c r="A411" s="17"/>
    </row>
    <row r="412" spans="1:1" s="21" customFormat="1" x14ac:dyDescent="0.3">
      <c r="A412" s="17"/>
    </row>
    <row r="413" spans="1:1" s="21" customFormat="1" x14ac:dyDescent="0.3">
      <c r="A413" s="17"/>
    </row>
    <row r="414" spans="1:1" s="21" customFormat="1" x14ac:dyDescent="0.3">
      <c r="A414" s="17"/>
    </row>
    <row r="415" spans="1:1" s="21" customFormat="1" x14ac:dyDescent="0.3">
      <c r="A415" s="17"/>
    </row>
    <row r="416" spans="1:1" s="21" customFormat="1" x14ac:dyDescent="0.3">
      <c r="A416" s="17"/>
    </row>
    <row r="417" spans="1:1" s="21" customFormat="1" x14ac:dyDescent="0.3">
      <c r="A417" s="17"/>
    </row>
    <row r="418" spans="1:1" s="21" customFormat="1" x14ac:dyDescent="0.3">
      <c r="A418" s="17"/>
    </row>
    <row r="419" spans="1:1" s="21" customFormat="1" x14ac:dyDescent="0.3">
      <c r="A419" s="17"/>
    </row>
    <row r="420" spans="1:1" s="21" customFormat="1" x14ac:dyDescent="0.3">
      <c r="A420" s="17"/>
    </row>
    <row r="421" spans="1:1" s="21" customFormat="1" x14ac:dyDescent="0.3">
      <c r="A421" s="17"/>
    </row>
    <row r="422" spans="1:1" s="21" customFormat="1" x14ac:dyDescent="0.3">
      <c r="A422" s="17"/>
    </row>
    <row r="423" spans="1:1" s="21" customFormat="1" x14ac:dyDescent="0.3">
      <c r="A423" s="17"/>
    </row>
    <row r="424" spans="1:1" s="21" customFormat="1" x14ac:dyDescent="0.3">
      <c r="A424" s="17"/>
    </row>
    <row r="425" spans="1:1" s="21" customFormat="1" x14ac:dyDescent="0.3">
      <c r="A425" s="17"/>
    </row>
    <row r="426" spans="1:1" s="21" customFormat="1" x14ac:dyDescent="0.3">
      <c r="A426" s="17"/>
    </row>
    <row r="427" spans="1:1" s="21" customFormat="1" x14ac:dyDescent="0.3">
      <c r="A427" s="17"/>
    </row>
    <row r="428" spans="1:1" s="21" customFormat="1" x14ac:dyDescent="0.3">
      <c r="A428" s="17"/>
    </row>
    <row r="429" spans="1:1" s="21" customFormat="1" x14ac:dyDescent="0.3">
      <c r="A429" s="17"/>
    </row>
    <row r="430" spans="1:1" s="21" customFormat="1" x14ac:dyDescent="0.3">
      <c r="A430" s="17"/>
    </row>
    <row r="431" spans="1:1" s="21" customFormat="1" x14ac:dyDescent="0.3">
      <c r="A431" s="17"/>
    </row>
    <row r="432" spans="1:1" s="21" customFormat="1" x14ac:dyDescent="0.3">
      <c r="A432" s="17"/>
    </row>
    <row r="433" spans="1:1" s="21" customFormat="1" x14ac:dyDescent="0.3">
      <c r="A433" s="17"/>
    </row>
    <row r="434" spans="1:1" s="21" customFormat="1" x14ac:dyDescent="0.3">
      <c r="A434" s="17"/>
    </row>
    <row r="435" spans="1:1" s="21" customFormat="1" x14ac:dyDescent="0.3">
      <c r="A435" s="17"/>
    </row>
    <row r="436" spans="1:1" s="21" customFormat="1" x14ac:dyDescent="0.3">
      <c r="A436" s="17"/>
    </row>
    <row r="437" spans="1:1" s="21" customFormat="1" x14ac:dyDescent="0.3">
      <c r="A437" s="17"/>
    </row>
    <row r="438" spans="1:1" s="21" customFormat="1" x14ac:dyDescent="0.3">
      <c r="A438" s="17"/>
    </row>
    <row r="439" spans="1:1" s="21" customFormat="1" x14ac:dyDescent="0.3">
      <c r="A439" s="17"/>
    </row>
    <row r="440" spans="1:1" s="21" customFormat="1" x14ac:dyDescent="0.3">
      <c r="A440" s="17"/>
    </row>
    <row r="441" spans="1:1" s="21" customFormat="1" x14ac:dyDescent="0.3">
      <c r="A441" s="17"/>
    </row>
    <row r="442" spans="1:1" s="21" customFormat="1" x14ac:dyDescent="0.3">
      <c r="A442" s="17"/>
    </row>
    <row r="443" spans="1:1" s="21" customFormat="1" x14ac:dyDescent="0.3">
      <c r="A443" s="17"/>
    </row>
    <row r="444" spans="1:1" s="21" customFormat="1" x14ac:dyDescent="0.3">
      <c r="A444" s="17"/>
    </row>
    <row r="445" spans="1:1" s="21" customFormat="1" x14ac:dyDescent="0.3">
      <c r="A445" s="17"/>
    </row>
    <row r="446" spans="1:1" s="21" customFormat="1" x14ac:dyDescent="0.3">
      <c r="A446" s="17"/>
    </row>
    <row r="447" spans="1:1" s="21" customFormat="1" x14ac:dyDescent="0.3">
      <c r="A447" s="17"/>
    </row>
    <row r="448" spans="1:1" s="21" customFormat="1" x14ac:dyDescent="0.3">
      <c r="A448" s="17"/>
    </row>
    <row r="449" spans="1:1" s="21" customFormat="1" x14ac:dyDescent="0.3">
      <c r="A449" s="17"/>
    </row>
    <row r="450" spans="1:1" s="21" customFormat="1" x14ac:dyDescent="0.3">
      <c r="A450" s="17"/>
    </row>
    <row r="451" spans="1:1" s="21" customFormat="1" x14ac:dyDescent="0.3">
      <c r="A451" s="17"/>
    </row>
    <row r="452" spans="1:1" s="21" customFormat="1" x14ac:dyDescent="0.3">
      <c r="A452" s="17"/>
    </row>
    <row r="453" spans="1:1" s="21" customFormat="1" x14ac:dyDescent="0.3">
      <c r="A453" s="17"/>
    </row>
    <row r="454" spans="1:1" s="21" customFormat="1" x14ac:dyDescent="0.3">
      <c r="A454" s="17"/>
    </row>
    <row r="455" spans="1:1" s="21" customFormat="1" x14ac:dyDescent="0.3">
      <c r="A455" s="17"/>
    </row>
    <row r="456" spans="1:1" s="21" customFormat="1" x14ac:dyDescent="0.3">
      <c r="A456" s="17"/>
    </row>
    <row r="457" spans="1:1" s="21" customFormat="1" x14ac:dyDescent="0.3">
      <c r="A457" s="17"/>
    </row>
    <row r="458" spans="1:1" s="21" customFormat="1" x14ac:dyDescent="0.3">
      <c r="A458" s="17"/>
    </row>
    <row r="459" spans="1:1" s="21" customFormat="1" x14ac:dyDescent="0.3">
      <c r="A459" s="17"/>
    </row>
    <row r="460" spans="1:1" s="21" customFormat="1" x14ac:dyDescent="0.3">
      <c r="A460" s="17"/>
    </row>
    <row r="461" spans="1:1" s="21" customFormat="1" x14ac:dyDescent="0.3">
      <c r="A461" s="17"/>
    </row>
    <row r="462" spans="1:1" s="21" customFormat="1" x14ac:dyDescent="0.3">
      <c r="A462" s="17"/>
    </row>
    <row r="463" spans="1:1" s="21" customFormat="1" x14ac:dyDescent="0.3">
      <c r="A463" s="17"/>
    </row>
    <row r="464" spans="1:1" s="21" customFormat="1" x14ac:dyDescent="0.3">
      <c r="A464" s="17"/>
    </row>
    <row r="465" spans="1:1" s="21" customFormat="1" x14ac:dyDescent="0.3">
      <c r="A465" s="17"/>
    </row>
    <row r="466" spans="1:1" s="21" customFormat="1" x14ac:dyDescent="0.3">
      <c r="A466" s="17"/>
    </row>
    <row r="467" spans="1:1" s="21" customFormat="1" x14ac:dyDescent="0.3">
      <c r="A467" s="17"/>
    </row>
    <row r="468" spans="1:1" s="21" customFormat="1" x14ac:dyDescent="0.3">
      <c r="A468" s="17"/>
    </row>
    <row r="469" spans="1:1" s="21" customFormat="1" x14ac:dyDescent="0.3">
      <c r="A469" s="17"/>
    </row>
  </sheetData>
  <sheetProtection algorithmName="SHA-512" hashValue="bqWbdjIGpfKb3tLReX3ysj8p3udti/3k6L+jKMeDdLWsiD52S+iB/4EMK/NhnDwcnGGh9csZl1/IXHR8D1ja5w==" saltValue="60pjMjbaTw7KboACUekCSw==" spinCount="100000" sheet="1" scenarios="1" selectLockedCells="1" autoFilter="0" pivotTables="0" selectUnlockedCells="1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Fernando Jose Barbosa Castro</cp:lastModifiedBy>
  <dcterms:created xsi:type="dcterms:W3CDTF">2024-12-19T13:13:10Z</dcterms:created>
  <dcterms:modified xsi:type="dcterms:W3CDTF">2026-02-11T02:20:57Z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